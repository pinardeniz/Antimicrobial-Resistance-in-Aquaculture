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KONFERANS 2025-2026 CALISMALAR\MONACO VISIT\RESEARCH TOPIC-2\"/>
    </mc:Choice>
  </mc:AlternateContent>
  <xr:revisionPtr revIDLastSave="0" documentId="13_ncr:1_{57887A6F-2712-4361-95FE-C18900329587}" xr6:coauthVersionLast="36" xr6:coauthVersionMax="36" xr10:uidLastSave="{00000000-0000-0000-0000-000000000000}"/>
  <bookViews>
    <workbookView xWindow="0" yWindow="0" windowWidth="20490" windowHeight="6705" activeTab="4" xr2:uid="{00000000-000D-0000-FFFF-FFFF00000000}"/>
  </bookViews>
  <sheets>
    <sheet name="antibiotic use" sheetId="1" r:id="rId1"/>
    <sheet name="aqua_gr" sheetId="2" r:id="rId2"/>
    <sheet name="together" sheetId="3" r:id="rId3"/>
    <sheet name="together2" sheetId="4" r:id="rId4"/>
    <sheet name="panel" sheetId="5" r:id="rId5"/>
    <sheet name="temp" sheetId="8" r:id="rId6"/>
    <sheet name="Sayfa6" sheetId="6" r:id="rId7"/>
    <sheet name="Sayfa7" sheetId="7" r:id="rId8"/>
  </sheets>
  <definedNames>
    <definedName name="_xlnm._FilterDatabase" localSheetId="4" hidden="1">panel!$A$1:$E$209</definedName>
    <definedName name="_xlnm._FilterDatabase" localSheetId="5" hidden="1">temp!#REF!</definedName>
    <definedName name="_xlnm._FilterDatabase" localSheetId="2" hidden="1">together!$A$1:$R$49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8" l="1"/>
  <c r="O3" i="8"/>
  <c r="P3" i="8"/>
  <c r="Q3" i="8"/>
  <c r="R3" i="8"/>
  <c r="S3" i="8"/>
  <c r="T3" i="8"/>
  <c r="U3" i="8"/>
  <c r="V3" i="8"/>
  <c r="N4" i="8"/>
  <c r="O4" i="8"/>
  <c r="P4" i="8"/>
  <c r="Q4" i="8"/>
  <c r="R4" i="8"/>
  <c r="S4" i="8"/>
  <c r="T4" i="8"/>
  <c r="U4" i="8"/>
  <c r="V4" i="8"/>
  <c r="N5" i="8"/>
  <c r="O5" i="8"/>
  <c r="P5" i="8"/>
  <c r="Q5" i="8"/>
  <c r="R5" i="8"/>
  <c r="S5" i="8"/>
  <c r="T5" i="8"/>
  <c r="U5" i="8"/>
  <c r="V5" i="8"/>
  <c r="N6" i="8"/>
  <c r="O6" i="8"/>
  <c r="P6" i="8"/>
  <c r="Q6" i="8"/>
  <c r="R6" i="8"/>
  <c r="S6" i="8"/>
  <c r="T6" i="8"/>
  <c r="U6" i="8"/>
  <c r="V6" i="8"/>
  <c r="N7" i="8"/>
  <c r="O7" i="8"/>
  <c r="P7" i="8"/>
  <c r="Q7" i="8"/>
  <c r="R7" i="8"/>
  <c r="S7" i="8"/>
  <c r="T7" i="8"/>
  <c r="U7" i="8"/>
  <c r="V7" i="8"/>
  <c r="N8" i="8"/>
  <c r="O8" i="8"/>
  <c r="P8" i="8"/>
  <c r="Q8" i="8"/>
  <c r="R8" i="8"/>
  <c r="S8" i="8"/>
  <c r="T8" i="8"/>
  <c r="U8" i="8"/>
  <c r="V8" i="8"/>
  <c r="N9" i="8"/>
  <c r="O9" i="8"/>
  <c r="P9" i="8"/>
  <c r="Q9" i="8"/>
  <c r="R9" i="8"/>
  <c r="S9" i="8"/>
  <c r="T9" i="8"/>
  <c r="U9" i="8"/>
  <c r="V9" i="8"/>
  <c r="N10" i="8"/>
  <c r="O10" i="8"/>
  <c r="P10" i="8"/>
  <c r="Q10" i="8"/>
  <c r="R10" i="8"/>
  <c r="S10" i="8"/>
  <c r="T10" i="8"/>
  <c r="U10" i="8"/>
  <c r="V10" i="8"/>
  <c r="N11" i="8"/>
  <c r="O11" i="8"/>
  <c r="P11" i="8"/>
  <c r="Q11" i="8"/>
  <c r="R11" i="8"/>
  <c r="S11" i="8"/>
  <c r="T11" i="8"/>
  <c r="U11" i="8"/>
  <c r="V11" i="8"/>
  <c r="N12" i="8"/>
  <c r="O12" i="8"/>
  <c r="P12" i="8"/>
  <c r="Q12" i="8"/>
  <c r="R12" i="8"/>
  <c r="S12" i="8"/>
  <c r="T12" i="8"/>
  <c r="U12" i="8"/>
  <c r="V12" i="8"/>
  <c r="N13" i="8"/>
  <c r="O13" i="8"/>
  <c r="P13" i="8"/>
  <c r="Q13" i="8"/>
  <c r="R13" i="8"/>
  <c r="S13" i="8"/>
  <c r="T13" i="8"/>
  <c r="U13" i="8"/>
  <c r="V13" i="8"/>
  <c r="N14" i="8"/>
  <c r="O14" i="8"/>
  <c r="P14" i="8"/>
  <c r="Q14" i="8"/>
  <c r="R14" i="8"/>
  <c r="S14" i="8"/>
  <c r="T14" i="8"/>
  <c r="U14" i="8"/>
  <c r="V14" i="8"/>
  <c r="N15" i="8"/>
  <c r="O15" i="8"/>
  <c r="P15" i="8"/>
  <c r="Q15" i="8"/>
  <c r="R15" i="8"/>
  <c r="S15" i="8"/>
  <c r="T15" i="8"/>
  <c r="U15" i="8"/>
  <c r="V15" i="8"/>
  <c r="N16" i="8"/>
  <c r="O16" i="8"/>
  <c r="P16" i="8"/>
  <c r="Q16" i="8"/>
  <c r="R16" i="8"/>
  <c r="S16" i="8"/>
  <c r="T16" i="8"/>
  <c r="U16" i="8"/>
  <c r="V16" i="8"/>
  <c r="N17" i="8"/>
  <c r="O17" i="8"/>
  <c r="P17" i="8"/>
  <c r="Q17" i="8"/>
  <c r="R17" i="8"/>
  <c r="S17" i="8"/>
  <c r="T17" i="8"/>
  <c r="U17" i="8"/>
  <c r="V17" i="8"/>
  <c r="N18" i="8"/>
  <c r="O18" i="8"/>
  <c r="P18" i="8"/>
  <c r="Q18" i="8"/>
  <c r="R18" i="8"/>
  <c r="S18" i="8"/>
  <c r="T18" i="8"/>
  <c r="U18" i="8"/>
  <c r="V18" i="8"/>
  <c r="N19" i="8"/>
  <c r="O19" i="8"/>
  <c r="P19" i="8"/>
  <c r="Q19" i="8"/>
  <c r="R19" i="8"/>
  <c r="S19" i="8"/>
  <c r="T19" i="8"/>
  <c r="U19" i="8"/>
  <c r="V19" i="8"/>
  <c r="N20" i="8"/>
  <c r="O20" i="8"/>
  <c r="P20" i="8"/>
  <c r="Q20" i="8"/>
  <c r="R20" i="8"/>
  <c r="S20" i="8"/>
  <c r="T20" i="8"/>
  <c r="U20" i="8"/>
  <c r="V20" i="8"/>
  <c r="N21" i="8"/>
  <c r="O21" i="8"/>
  <c r="P21" i="8"/>
  <c r="Q21" i="8"/>
  <c r="R21" i="8"/>
  <c r="S21" i="8"/>
  <c r="T21" i="8"/>
  <c r="U21" i="8"/>
  <c r="V21" i="8"/>
  <c r="N22" i="8"/>
  <c r="O22" i="8"/>
  <c r="P22" i="8"/>
  <c r="Q22" i="8"/>
  <c r="R22" i="8"/>
  <c r="S22" i="8"/>
  <c r="T22" i="8"/>
  <c r="U22" i="8"/>
  <c r="V22" i="8"/>
  <c r="N23" i="8"/>
  <c r="O23" i="8"/>
  <c r="P23" i="8"/>
  <c r="Q23" i="8"/>
  <c r="R23" i="8"/>
  <c r="S23" i="8"/>
  <c r="T23" i="8"/>
  <c r="U23" i="8"/>
  <c r="V23" i="8"/>
  <c r="N24" i="8"/>
  <c r="O24" i="8"/>
  <c r="P24" i="8"/>
  <c r="Q24" i="8"/>
  <c r="R24" i="8"/>
  <c r="S24" i="8"/>
  <c r="T24" i="8"/>
  <c r="U24" i="8"/>
  <c r="V24" i="8"/>
  <c r="N25" i="8"/>
  <c r="O25" i="8"/>
  <c r="P25" i="8"/>
  <c r="Q25" i="8"/>
  <c r="R25" i="8"/>
  <c r="S25" i="8"/>
  <c r="T25" i="8"/>
  <c r="U25" i="8"/>
  <c r="V25" i="8"/>
  <c r="N26" i="8"/>
  <c r="O26" i="8"/>
  <c r="P26" i="8"/>
  <c r="Q26" i="8"/>
  <c r="R26" i="8"/>
  <c r="S26" i="8"/>
  <c r="T26" i="8"/>
  <c r="U26" i="8"/>
  <c r="V26" i="8"/>
  <c r="N27" i="8"/>
  <c r="O27" i="8"/>
  <c r="P27" i="8"/>
  <c r="Q27" i="8"/>
  <c r="R27" i="8"/>
  <c r="S27" i="8"/>
  <c r="T27" i="8"/>
  <c r="U27" i="8"/>
  <c r="V27" i="8"/>
  <c r="V2" i="8"/>
  <c r="U2" i="8"/>
  <c r="T2" i="8"/>
  <c r="S2" i="8"/>
  <c r="R2" i="8"/>
  <c r="Q2" i="8"/>
  <c r="P2" i="8"/>
  <c r="O2" i="8"/>
  <c r="N2" i="8"/>
  <c r="O66" i="5"/>
  <c r="Q106" i="5"/>
  <c r="O204" i="5"/>
  <c r="N3" i="5"/>
  <c r="N4" i="5"/>
  <c r="N5" i="5"/>
  <c r="N6" i="5"/>
  <c r="N7" i="5"/>
  <c r="P7" i="5" s="1"/>
  <c r="N8" i="5"/>
  <c r="N9" i="5"/>
  <c r="N10" i="5"/>
  <c r="N11" i="5"/>
  <c r="N12" i="5"/>
  <c r="Q12" i="5" s="1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Q28" i="5" s="1"/>
  <c r="N29" i="5"/>
  <c r="N30" i="5"/>
  <c r="N31" i="5"/>
  <c r="N32" i="5"/>
  <c r="Q32" i="5" s="1"/>
  <c r="N33" i="5"/>
  <c r="N34" i="5"/>
  <c r="O34" i="5" s="1"/>
  <c r="N35" i="5"/>
  <c r="N36" i="5"/>
  <c r="N37" i="5"/>
  <c r="N38" i="5"/>
  <c r="N39" i="5"/>
  <c r="P39" i="5" s="1"/>
  <c r="N40" i="5"/>
  <c r="N41" i="5"/>
  <c r="N42" i="5"/>
  <c r="N43" i="5"/>
  <c r="N44" i="5"/>
  <c r="Q44" i="5" s="1"/>
  <c r="N45" i="5"/>
  <c r="N46" i="5"/>
  <c r="N47" i="5"/>
  <c r="N48" i="5"/>
  <c r="N49" i="5"/>
  <c r="N50" i="5"/>
  <c r="O50" i="5" s="1"/>
  <c r="N51" i="5"/>
  <c r="N52" i="5"/>
  <c r="N53" i="5"/>
  <c r="N54" i="5"/>
  <c r="O54" i="5" s="1"/>
  <c r="N55" i="5"/>
  <c r="N56" i="5"/>
  <c r="N57" i="5"/>
  <c r="N58" i="5"/>
  <c r="N59" i="5"/>
  <c r="N60" i="5"/>
  <c r="Q60" i="5" s="1"/>
  <c r="N61" i="5"/>
  <c r="N62" i="5"/>
  <c r="N63" i="5"/>
  <c r="N64" i="5"/>
  <c r="Q64" i="5" s="1"/>
  <c r="N65" i="5"/>
  <c r="N66" i="5"/>
  <c r="N67" i="5"/>
  <c r="N68" i="5"/>
  <c r="N69" i="5"/>
  <c r="N70" i="5"/>
  <c r="N71" i="5"/>
  <c r="P71" i="5" s="1"/>
  <c r="N72" i="5"/>
  <c r="N73" i="5"/>
  <c r="N74" i="5"/>
  <c r="N75" i="5"/>
  <c r="N76" i="5"/>
  <c r="Q76" i="5" s="1"/>
  <c r="N77" i="5"/>
  <c r="N78" i="5"/>
  <c r="N79" i="5"/>
  <c r="N80" i="5"/>
  <c r="N81" i="5"/>
  <c r="N82" i="5"/>
  <c r="N83" i="5"/>
  <c r="N84" i="5"/>
  <c r="N85" i="5"/>
  <c r="N86" i="5"/>
  <c r="O86" i="5" s="1"/>
  <c r="N87" i="5"/>
  <c r="N88" i="5"/>
  <c r="N89" i="5"/>
  <c r="N90" i="5"/>
  <c r="N91" i="5"/>
  <c r="N92" i="5"/>
  <c r="Q92" i="5" s="1"/>
  <c r="N93" i="5"/>
  <c r="N94" i="5"/>
  <c r="N95" i="5"/>
  <c r="N96" i="5"/>
  <c r="Q96" i="5" s="1"/>
  <c r="N97" i="5"/>
  <c r="N98" i="5"/>
  <c r="O98" i="5" s="1"/>
  <c r="N99" i="5"/>
  <c r="N100" i="5"/>
  <c r="N101" i="5"/>
  <c r="N102" i="5"/>
  <c r="N103" i="5"/>
  <c r="N104" i="5"/>
  <c r="N105" i="5"/>
  <c r="N106" i="5"/>
  <c r="P106" i="5" s="1"/>
  <c r="N107" i="5"/>
  <c r="N108" i="5"/>
  <c r="N109" i="5"/>
  <c r="N110" i="5"/>
  <c r="N111" i="5"/>
  <c r="P111" i="5" s="1"/>
  <c r="N112" i="5"/>
  <c r="O112" i="5" s="1"/>
  <c r="N113" i="5"/>
  <c r="N114" i="5"/>
  <c r="P114" i="5" s="1"/>
  <c r="N115" i="5"/>
  <c r="N116" i="5"/>
  <c r="O116" i="5" s="1"/>
  <c r="N117" i="5"/>
  <c r="N118" i="5"/>
  <c r="O118" i="5" s="1"/>
  <c r="N119" i="5"/>
  <c r="Q119" i="5" s="1"/>
  <c r="N120" i="5"/>
  <c r="O120" i="5" s="1"/>
  <c r="N121" i="5"/>
  <c r="Q121" i="5" s="1"/>
  <c r="N122" i="5"/>
  <c r="O122" i="5" s="1"/>
  <c r="N123" i="5"/>
  <c r="Q123" i="5" s="1"/>
  <c r="N124" i="5"/>
  <c r="O124" i="5" s="1"/>
  <c r="N125" i="5"/>
  <c r="N126" i="5"/>
  <c r="N127" i="5"/>
  <c r="Q127" i="5" s="1"/>
  <c r="N128" i="5"/>
  <c r="O128" i="5" s="1"/>
  <c r="N129" i="5"/>
  <c r="Q129" i="5" s="1"/>
  <c r="N130" i="5"/>
  <c r="O130" i="5" s="1"/>
  <c r="N131" i="5"/>
  <c r="Q131" i="5" s="1"/>
  <c r="N132" i="5"/>
  <c r="O132" i="5" s="1"/>
  <c r="N133" i="5"/>
  <c r="N134" i="5"/>
  <c r="O134" i="5" s="1"/>
  <c r="N135" i="5"/>
  <c r="Q135" i="5" s="1"/>
  <c r="N136" i="5"/>
  <c r="O136" i="5" s="1"/>
  <c r="N137" i="5"/>
  <c r="Q137" i="5" s="1"/>
  <c r="N138" i="5"/>
  <c r="O138" i="5" s="1"/>
  <c r="N139" i="5"/>
  <c r="Q139" i="5" s="1"/>
  <c r="N140" i="5"/>
  <c r="O140" i="5" s="1"/>
  <c r="N141" i="5"/>
  <c r="N142" i="5"/>
  <c r="O142" i="5" s="1"/>
  <c r="N143" i="5"/>
  <c r="Q143" i="5" s="1"/>
  <c r="N144" i="5"/>
  <c r="O144" i="5" s="1"/>
  <c r="N145" i="5"/>
  <c r="Q145" i="5" s="1"/>
  <c r="N146" i="5"/>
  <c r="O146" i="5" s="1"/>
  <c r="N147" i="5"/>
  <c r="Q147" i="5" s="1"/>
  <c r="N148" i="5"/>
  <c r="O148" i="5" s="1"/>
  <c r="N149" i="5"/>
  <c r="N150" i="5"/>
  <c r="N151" i="5"/>
  <c r="Q151" i="5" s="1"/>
  <c r="N152" i="5"/>
  <c r="O152" i="5" s="1"/>
  <c r="N153" i="5"/>
  <c r="Q153" i="5" s="1"/>
  <c r="N154" i="5"/>
  <c r="O154" i="5" s="1"/>
  <c r="N155" i="5"/>
  <c r="Q155" i="5" s="1"/>
  <c r="N156" i="5"/>
  <c r="O156" i="5" s="1"/>
  <c r="N157" i="5"/>
  <c r="N158" i="5"/>
  <c r="N159" i="5"/>
  <c r="Q159" i="5" s="1"/>
  <c r="N160" i="5"/>
  <c r="O160" i="5" s="1"/>
  <c r="N161" i="5"/>
  <c r="Q161" i="5" s="1"/>
  <c r="N162" i="5"/>
  <c r="O162" i="5" s="1"/>
  <c r="N163" i="5"/>
  <c r="Q163" i="5" s="1"/>
  <c r="N164" i="5"/>
  <c r="O164" i="5" s="1"/>
  <c r="N165" i="5"/>
  <c r="N166" i="5"/>
  <c r="O166" i="5" s="1"/>
  <c r="N167" i="5"/>
  <c r="Q167" i="5" s="1"/>
  <c r="N168" i="5"/>
  <c r="O168" i="5" s="1"/>
  <c r="N169" i="5"/>
  <c r="Q169" i="5" s="1"/>
  <c r="N170" i="5"/>
  <c r="O170" i="5" s="1"/>
  <c r="N171" i="5"/>
  <c r="Q171" i="5" s="1"/>
  <c r="N172" i="5"/>
  <c r="O172" i="5" s="1"/>
  <c r="N173" i="5"/>
  <c r="N174" i="5"/>
  <c r="O174" i="5" s="1"/>
  <c r="N175" i="5"/>
  <c r="Q175" i="5" s="1"/>
  <c r="N176" i="5"/>
  <c r="O176" i="5" s="1"/>
  <c r="N177" i="5"/>
  <c r="Q177" i="5" s="1"/>
  <c r="N178" i="5"/>
  <c r="O178" i="5" s="1"/>
  <c r="N179" i="5"/>
  <c r="Q179" i="5" s="1"/>
  <c r="N180" i="5"/>
  <c r="O180" i="5" s="1"/>
  <c r="N181" i="5"/>
  <c r="N182" i="5"/>
  <c r="N183" i="5"/>
  <c r="Q183" i="5" s="1"/>
  <c r="N184" i="5"/>
  <c r="O184" i="5" s="1"/>
  <c r="N185" i="5"/>
  <c r="Q185" i="5" s="1"/>
  <c r="N186" i="5"/>
  <c r="O186" i="5" s="1"/>
  <c r="N187" i="5"/>
  <c r="Q187" i="5" s="1"/>
  <c r="N188" i="5"/>
  <c r="O188" i="5" s="1"/>
  <c r="N189" i="5"/>
  <c r="N190" i="5"/>
  <c r="N191" i="5"/>
  <c r="Q191" i="5" s="1"/>
  <c r="N192" i="5"/>
  <c r="O192" i="5" s="1"/>
  <c r="N193" i="5"/>
  <c r="Q193" i="5" s="1"/>
  <c r="N194" i="5"/>
  <c r="O194" i="5" s="1"/>
  <c r="N195" i="5"/>
  <c r="Q195" i="5" s="1"/>
  <c r="N196" i="5"/>
  <c r="O196" i="5" s="1"/>
  <c r="N197" i="5"/>
  <c r="N198" i="5"/>
  <c r="P198" i="5" s="1"/>
  <c r="N199" i="5"/>
  <c r="P199" i="5" s="1"/>
  <c r="N200" i="5"/>
  <c r="Q200" i="5" s="1"/>
  <c r="N201" i="5"/>
  <c r="O201" i="5" s="1"/>
  <c r="N202" i="5"/>
  <c r="O202" i="5" s="1"/>
  <c r="N203" i="5"/>
  <c r="P203" i="5" s="1"/>
  <c r="N204" i="5"/>
  <c r="Q204" i="5" s="1"/>
  <c r="N205" i="5"/>
  <c r="O205" i="5" s="1"/>
  <c r="N206" i="5"/>
  <c r="O206" i="5" s="1"/>
  <c r="N207" i="5"/>
  <c r="P207" i="5" s="1"/>
  <c r="N208" i="5"/>
  <c r="Q208" i="5" s="1"/>
  <c r="N209" i="5"/>
  <c r="O209" i="5" s="1"/>
  <c r="N2" i="5"/>
  <c r="P2" i="5" s="1"/>
  <c r="O200" i="5" l="1"/>
  <c r="O208" i="5"/>
  <c r="Q209" i="5"/>
  <c r="Q205" i="5"/>
  <c r="Q201" i="5"/>
  <c r="Q196" i="5"/>
  <c r="Q188" i="5"/>
  <c r="Q180" i="5"/>
  <c r="Q172" i="5"/>
  <c r="Q164" i="5"/>
  <c r="Q156" i="5"/>
  <c r="Q148" i="5"/>
  <c r="Q140" i="5"/>
  <c r="Q132" i="5"/>
  <c r="Q124" i="5"/>
  <c r="Q116" i="5"/>
  <c r="P209" i="5"/>
  <c r="P205" i="5"/>
  <c r="P201" i="5"/>
  <c r="P196" i="5"/>
  <c r="P188" i="5"/>
  <c r="P180" i="5"/>
  <c r="P172" i="5"/>
  <c r="P164" i="5"/>
  <c r="P156" i="5"/>
  <c r="P148" i="5"/>
  <c r="P140" i="5"/>
  <c r="P132" i="5"/>
  <c r="P124" i="5"/>
  <c r="P116" i="5"/>
  <c r="P208" i="5"/>
  <c r="P204" i="5"/>
  <c r="P200" i="5"/>
  <c r="O107" i="5"/>
  <c r="Q107" i="5"/>
  <c r="P107" i="5"/>
  <c r="O103" i="5"/>
  <c r="Q103" i="5"/>
  <c r="O91" i="5"/>
  <c r="Q91" i="5"/>
  <c r="O87" i="5"/>
  <c r="Q87" i="5"/>
  <c r="O75" i="5"/>
  <c r="Q75" i="5"/>
  <c r="O67" i="5"/>
  <c r="Q67" i="5"/>
  <c r="P67" i="5"/>
  <c r="O59" i="5"/>
  <c r="Q59" i="5"/>
  <c r="O51" i="5"/>
  <c r="Q51" i="5"/>
  <c r="P51" i="5"/>
  <c r="O43" i="5"/>
  <c r="Q43" i="5"/>
  <c r="O35" i="5"/>
  <c r="Q35" i="5"/>
  <c r="P35" i="5"/>
  <c r="O31" i="5"/>
  <c r="Q31" i="5"/>
  <c r="P31" i="5"/>
  <c r="O23" i="5"/>
  <c r="Q23" i="5"/>
  <c r="O11" i="5"/>
  <c r="Q11" i="5"/>
  <c r="O3" i="5"/>
  <c r="Q3" i="5"/>
  <c r="P3" i="5"/>
  <c r="O203" i="5"/>
  <c r="P191" i="5"/>
  <c r="P175" i="5"/>
  <c r="P159" i="5"/>
  <c r="P135" i="5"/>
  <c r="P23" i="5"/>
  <c r="P194" i="5"/>
  <c r="Q194" i="5"/>
  <c r="P190" i="5"/>
  <c r="Q190" i="5"/>
  <c r="P182" i="5"/>
  <c r="Q182" i="5"/>
  <c r="P162" i="5"/>
  <c r="Q162" i="5"/>
  <c r="P158" i="5"/>
  <c r="Q158" i="5"/>
  <c r="P150" i="5"/>
  <c r="Q150" i="5"/>
  <c r="P146" i="5"/>
  <c r="Q146" i="5"/>
  <c r="P138" i="5"/>
  <c r="Q138" i="5"/>
  <c r="P130" i="5"/>
  <c r="Q130" i="5"/>
  <c r="P126" i="5"/>
  <c r="Q126" i="5"/>
  <c r="P110" i="5"/>
  <c r="O110" i="5"/>
  <c r="Q110" i="5"/>
  <c r="P102" i="5"/>
  <c r="Q102" i="5"/>
  <c r="P94" i="5"/>
  <c r="Q94" i="5"/>
  <c r="O94" i="5"/>
  <c r="P90" i="5"/>
  <c r="Q90" i="5"/>
  <c r="O90" i="5"/>
  <c r="P82" i="5"/>
  <c r="Q82" i="5"/>
  <c r="P74" i="5"/>
  <c r="Q74" i="5"/>
  <c r="O74" i="5"/>
  <c r="P66" i="5"/>
  <c r="Q66" i="5"/>
  <c r="P58" i="5"/>
  <c r="Q58" i="5"/>
  <c r="O58" i="5"/>
  <c r="P46" i="5"/>
  <c r="Q46" i="5"/>
  <c r="O46" i="5"/>
  <c r="P34" i="5"/>
  <c r="Q34" i="5"/>
  <c r="P30" i="5"/>
  <c r="Q30" i="5"/>
  <c r="O30" i="5"/>
  <c r="P22" i="5"/>
  <c r="Q22" i="5"/>
  <c r="P18" i="5"/>
  <c r="Q18" i="5"/>
  <c r="P10" i="5"/>
  <c r="Q10" i="5"/>
  <c r="O10" i="5"/>
  <c r="O2" i="5"/>
  <c r="Q202" i="5"/>
  <c r="O183" i="5"/>
  <c r="O175" i="5"/>
  <c r="O159" i="5"/>
  <c r="O143" i="5"/>
  <c r="O127" i="5"/>
  <c r="O119" i="5"/>
  <c r="O106" i="5"/>
  <c r="P75" i="5"/>
  <c r="P43" i="5"/>
  <c r="O22" i="5"/>
  <c r="P11" i="5"/>
  <c r="O197" i="5"/>
  <c r="P197" i="5"/>
  <c r="O193" i="5"/>
  <c r="P193" i="5"/>
  <c r="O189" i="5"/>
  <c r="P189" i="5"/>
  <c r="O185" i="5"/>
  <c r="P185" i="5"/>
  <c r="O181" i="5"/>
  <c r="P181" i="5"/>
  <c r="O177" i="5"/>
  <c r="P177" i="5"/>
  <c r="O173" i="5"/>
  <c r="P173" i="5"/>
  <c r="O169" i="5"/>
  <c r="P169" i="5"/>
  <c r="O165" i="5"/>
  <c r="P165" i="5"/>
  <c r="O161" i="5"/>
  <c r="P161" i="5"/>
  <c r="O157" i="5"/>
  <c r="P157" i="5"/>
  <c r="O153" i="5"/>
  <c r="P153" i="5"/>
  <c r="O149" i="5"/>
  <c r="P149" i="5"/>
  <c r="O145" i="5"/>
  <c r="P145" i="5"/>
  <c r="O141" i="5"/>
  <c r="P141" i="5"/>
  <c r="O137" i="5"/>
  <c r="P137" i="5"/>
  <c r="O133" i="5"/>
  <c r="P133" i="5"/>
  <c r="O129" i="5"/>
  <c r="P129" i="5"/>
  <c r="O125" i="5"/>
  <c r="P125" i="5"/>
  <c r="O121" i="5"/>
  <c r="P121" i="5"/>
  <c r="O117" i="5"/>
  <c r="P117" i="5"/>
  <c r="Q113" i="5"/>
  <c r="O113" i="5"/>
  <c r="P113" i="5"/>
  <c r="Q109" i="5"/>
  <c r="O109" i="5"/>
  <c r="Q105" i="5"/>
  <c r="O105" i="5"/>
  <c r="P105" i="5"/>
  <c r="Q101" i="5"/>
  <c r="O101" i="5"/>
  <c r="P101" i="5"/>
  <c r="Q97" i="5"/>
  <c r="O97" i="5"/>
  <c r="P97" i="5"/>
  <c r="Q93" i="5"/>
  <c r="O93" i="5"/>
  <c r="P93" i="5"/>
  <c r="Q89" i="5"/>
  <c r="O89" i="5"/>
  <c r="P89" i="5"/>
  <c r="Q85" i="5"/>
  <c r="O85" i="5"/>
  <c r="P85" i="5"/>
  <c r="Q81" i="5"/>
  <c r="O81" i="5"/>
  <c r="P81" i="5"/>
  <c r="Q77" i="5"/>
  <c r="O77" i="5"/>
  <c r="P77" i="5"/>
  <c r="Q73" i="5"/>
  <c r="O73" i="5"/>
  <c r="P73" i="5"/>
  <c r="Q69" i="5"/>
  <c r="O69" i="5"/>
  <c r="P69" i="5"/>
  <c r="Q65" i="5"/>
  <c r="O65" i="5"/>
  <c r="P65" i="5"/>
  <c r="Q61" i="5"/>
  <c r="O61" i="5"/>
  <c r="P61" i="5"/>
  <c r="Q57" i="5"/>
  <c r="O57" i="5"/>
  <c r="P57" i="5"/>
  <c r="Q53" i="5"/>
  <c r="O53" i="5"/>
  <c r="P53" i="5"/>
  <c r="Q49" i="5"/>
  <c r="O49" i="5"/>
  <c r="P49" i="5"/>
  <c r="Q45" i="5"/>
  <c r="O45" i="5"/>
  <c r="P45" i="5"/>
  <c r="Q41" i="5"/>
  <c r="O41" i="5"/>
  <c r="P41" i="5"/>
  <c r="Q37" i="5"/>
  <c r="O37" i="5"/>
  <c r="P37" i="5"/>
  <c r="Q33" i="5"/>
  <c r="O33" i="5"/>
  <c r="P33" i="5"/>
  <c r="Q29" i="5"/>
  <c r="O29" i="5"/>
  <c r="P29" i="5"/>
  <c r="Q25" i="5"/>
  <c r="O25" i="5"/>
  <c r="P25" i="5"/>
  <c r="Q21" i="5"/>
  <c r="O21" i="5"/>
  <c r="P21" i="5"/>
  <c r="Q17" i="5"/>
  <c r="O17" i="5"/>
  <c r="P17" i="5"/>
  <c r="Q13" i="5"/>
  <c r="O13" i="5"/>
  <c r="P13" i="5"/>
  <c r="Q9" i="5"/>
  <c r="O9" i="5"/>
  <c r="P9" i="5"/>
  <c r="Q5" i="5"/>
  <c r="O5" i="5"/>
  <c r="P5" i="5"/>
  <c r="Q2" i="5"/>
  <c r="Q207" i="5"/>
  <c r="P206" i="5"/>
  <c r="Q203" i="5"/>
  <c r="P202" i="5"/>
  <c r="Q199" i="5"/>
  <c r="O198" i="5"/>
  <c r="P195" i="5"/>
  <c r="Q192" i="5"/>
  <c r="O190" i="5"/>
  <c r="P187" i="5"/>
  <c r="Q184" i="5"/>
  <c r="O182" i="5"/>
  <c r="P179" i="5"/>
  <c r="Q176" i="5"/>
  <c r="P171" i="5"/>
  <c r="Q168" i="5"/>
  <c r="P163" i="5"/>
  <c r="Q160" i="5"/>
  <c r="O158" i="5"/>
  <c r="P155" i="5"/>
  <c r="Q152" i="5"/>
  <c r="O150" i="5"/>
  <c r="P147" i="5"/>
  <c r="Q144" i="5"/>
  <c r="P139" i="5"/>
  <c r="Q136" i="5"/>
  <c r="P131" i="5"/>
  <c r="Q128" i="5"/>
  <c r="O126" i="5"/>
  <c r="P123" i="5"/>
  <c r="Q120" i="5"/>
  <c r="Q114" i="5"/>
  <c r="P109" i="5"/>
  <c r="P103" i="5"/>
  <c r="O82" i="5"/>
  <c r="O18" i="5"/>
  <c r="O115" i="5"/>
  <c r="Q115" i="5"/>
  <c r="P115" i="5"/>
  <c r="O111" i="5"/>
  <c r="Q111" i="5"/>
  <c r="O99" i="5"/>
  <c r="Q99" i="5"/>
  <c r="P99" i="5"/>
  <c r="O95" i="5"/>
  <c r="Q95" i="5"/>
  <c r="P95" i="5"/>
  <c r="O83" i="5"/>
  <c r="Q83" i="5"/>
  <c r="P83" i="5"/>
  <c r="O79" i="5"/>
  <c r="Q79" i="5"/>
  <c r="P79" i="5"/>
  <c r="O71" i="5"/>
  <c r="Q71" i="5"/>
  <c r="O63" i="5"/>
  <c r="Q63" i="5"/>
  <c r="P63" i="5"/>
  <c r="O55" i="5"/>
  <c r="Q55" i="5"/>
  <c r="O47" i="5"/>
  <c r="Q47" i="5"/>
  <c r="P47" i="5"/>
  <c r="O39" i="5"/>
  <c r="Q39" i="5"/>
  <c r="O27" i="5"/>
  <c r="Q27" i="5"/>
  <c r="O19" i="5"/>
  <c r="Q19" i="5"/>
  <c r="P19" i="5"/>
  <c r="O15" i="5"/>
  <c r="Q15" i="5"/>
  <c r="P15" i="5"/>
  <c r="O7" i="5"/>
  <c r="Q7" i="5"/>
  <c r="O207" i="5"/>
  <c r="O199" i="5"/>
  <c r="P183" i="5"/>
  <c r="P167" i="5"/>
  <c r="P151" i="5"/>
  <c r="P143" i="5"/>
  <c r="P127" i="5"/>
  <c r="P119" i="5"/>
  <c r="P87" i="5"/>
  <c r="P55" i="5"/>
  <c r="P186" i="5"/>
  <c r="Q186" i="5"/>
  <c r="P178" i="5"/>
  <c r="Q178" i="5"/>
  <c r="P174" i="5"/>
  <c r="Q174" i="5"/>
  <c r="P170" i="5"/>
  <c r="Q170" i="5"/>
  <c r="P166" i="5"/>
  <c r="Q166" i="5"/>
  <c r="P154" i="5"/>
  <c r="Q154" i="5"/>
  <c r="P142" i="5"/>
  <c r="Q142" i="5"/>
  <c r="P134" i="5"/>
  <c r="Q134" i="5"/>
  <c r="P122" i="5"/>
  <c r="Q122" i="5"/>
  <c r="P118" i="5"/>
  <c r="Q118" i="5"/>
  <c r="P98" i="5"/>
  <c r="Q98" i="5"/>
  <c r="P86" i="5"/>
  <c r="Q86" i="5"/>
  <c r="P78" i="5"/>
  <c r="Q78" i="5"/>
  <c r="O78" i="5"/>
  <c r="P70" i="5"/>
  <c r="Q70" i="5"/>
  <c r="P62" i="5"/>
  <c r="Q62" i="5"/>
  <c r="O62" i="5"/>
  <c r="P54" i="5"/>
  <c r="Q54" i="5"/>
  <c r="P50" i="5"/>
  <c r="Q50" i="5"/>
  <c r="P42" i="5"/>
  <c r="Q42" i="5"/>
  <c r="O42" i="5"/>
  <c r="P38" i="5"/>
  <c r="Q38" i="5"/>
  <c r="P26" i="5"/>
  <c r="Q26" i="5"/>
  <c r="O26" i="5"/>
  <c r="P14" i="5"/>
  <c r="Q14" i="5"/>
  <c r="O14" i="5"/>
  <c r="P6" i="5"/>
  <c r="Q6" i="5"/>
  <c r="Q206" i="5"/>
  <c r="Q198" i="5"/>
  <c r="O191" i="5"/>
  <c r="O167" i="5"/>
  <c r="O151" i="5"/>
  <c r="O135" i="5"/>
  <c r="P112" i="5"/>
  <c r="Q112" i="5"/>
  <c r="P108" i="5"/>
  <c r="O108" i="5"/>
  <c r="P104" i="5"/>
  <c r="O104" i="5"/>
  <c r="Q104" i="5"/>
  <c r="P100" i="5"/>
  <c r="O100" i="5"/>
  <c r="Q100" i="5"/>
  <c r="P96" i="5"/>
  <c r="O96" i="5"/>
  <c r="P92" i="5"/>
  <c r="O92" i="5"/>
  <c r="P88" i="5"/>
  <c r="O88" i="5"/>
  <c r="Q88" i="5"/>
  <c r="P84" i="5"/>
  <c r="O84" i="5"/>
  <c r="Q84" i="5"/>
  <c r="P80" i="5"/>
  <c r="O80" i="5"/>
  <c r="P76" i="5"/>
  <c r="O76" i="5"/>
  <c r="P72" i="5"/>
  <c r="O72" i="5"/>
  <c r="Q72" i="5"/>
  <c r="P68" i="5"/>
  <c r="O68" i="5"/>
  <c r="Q68" i="5"/>
  <c r="P64" i="5"/>
  <c r="O64" i="5"/>
  <c r="P60" i="5"/>
  <c r="O60" i="5"/>
  <c r="P56" i="5"/>
  <c r="O56" i="5"/>
  <c r="Q56" i="5"/>
  <c r="P52" i="5"/>
  <c r="O52" i="5"/>
  <c r="Q52" i="5"/>
  <c r="P48" i="5"/>
  <c r="O48" i="5"/>
  <c r="P44" i="5"/>
  <c r="O44" i="5"/>
  <c r="P40" i="5"/>
  <c r="O40" i="5"/>
  <c r="Q40" i="5"/>
  <c r="P36" i="5"/>
  <c r="O36" i="5"/>
  <c r="Q36" i="5"/>
  <c r="P32" i="5"/>
  <c r="O32" i="5"/>
  <c r="P28" i="5"/>
  <c r="O28" i="5"/>
  <c r="P24" i="5"/>
  <c r="O24" i="5"/>
  <c r="Q24" i="5"/>
  <c r="P20" i="5"/>
  <c r="O20" i="5"/>
  <c r="Q20" i="5"/>
  <c r="P16" i="5"/>
  <c r="O16" i="5"/>
  <c r="P12" i="5"/>
  <c r="O12" i="5"/>
  <c r="P8" i="5"/>
  <c r="O8" i="5"/>
  <c r="Q8" i="5"/>
  <c r="P4" i="5"/>
  <c r="O4" i="5"/>
  <c r="Q4" i="5"/>
  <c r="Q197" i="5"/>
  <c r="O195" i="5"/>
  <c r="P192" i="5"/>
  <c r="Q189" i="5"/>
  <c r="O187" i="5"/>
  <c r="P184" i="5"/>
  <c r="Q181" i="5"/>
  <c r="O179" i="5"/>
  <c r="P176" i="5"/>
  <c r="Q173" i="5"/>
  <c r="O171" i="5"/>
  <c r="P168" i="5"/>
  <c r="Q165" i="5"/>
  <c r="O163" i="5"/>
  <c r="P160" i="5"/>
  <c r="Q157" i="5"/>
  <c r="O155" i="5"/>
  <c r="P152" i="5"/>
  <c r="Q149" i="5"/>
  <c r="O147" i="5"/>
  <c r="P144" i="5"/>
  <c r="Q141" i="5"/>
  <c r="O139" i="5"/>
  <c r="P136" i="5"/>
  <c r="Q133" i="5"/>
  <c r="O131" i="5"/>
  <c r="P128" i="5"/>
  <c r="Q125" i="5"/>
  <c r="O123" i="5"/>
  <c r="P120" i="5"/>
  <c r="Q117" i="5"/>
  <c r="O114" i="5"/>
  <c r="Q108" i="5"/>
  <c r="O102" i="5"/>
  <c r="P91" i="5"/>
  <c r="Q80" i="5"/>
  <c r="O70" i="5"/>
  <c r="P59" i="5"/>
  <c r="Q48" i="5"/>
  <c r="O38" i="5"/>
  <c r="P27" i="5"/>
  <c r="Q16" i="5"/>
  <c r="O6" i="5"/>
  <c r="L3" i="2"/>
  <c r="M3" i="2"/>
  <c r="N3" i="2"/>
  <c r="O3" i="2"/>
  <c r="P3" i="2"/>
  <c r="Q3" i="2"/>
  <c r="R3" i="2"/>
  <c r="S3" i="2"/>
  <c r="L4" i="2"/>
  <c r="M4" i="2"/>
  <c r="N4" i="2"/>
  <c r="O4" i="2"/>
  <c r="P4" i="2"/>
  <c r="Q4" i="2"/>
  <c r="R4" i="2"/>
  <c r="S4" i="2"/>
  <c r="L5" i="2"/>
  <c r="M5" i="2"/>
  <c r="N5" i="2"/>
  <c r="O5" i="2"/>
  <c r="P5" i="2"/>
  <c r="Q5" i="2"/>
  <c r="R5" i="2"/>
  <c r="S5" i="2"/>
  <c r="L6" i="2"/>
  <c r="M6" i="2"/>
  <c r="N6" i="2"/>
  <c r="O6" i="2"/>
  <c r="P6" i="2"/>
  <c r="Q6" i="2"/>
  <c r="R6" i="2"/>
  <c r="S6" i="2"/>
  <c r="L7" i="2"/>
  <c r="M7" i="2"/>
  <c r="N7" i="2"/>
  <c r="O7" i="2"/>
  <c r="P7" i="2"/>
  <c r="Q7" i="2"/>
  <c r="R7" i="2"/>
  <c r="S7" i="2"/>
  <c r="L8" i="2"/>
  <c r="M8" i="2"/>
  <c r="N8" i="2"/>
  <c r="O8" i="2"/>
  <c r="P8" i="2"/>
  <c r="Q8" i="2"/>
  <c r="R8" i="2"/>
  <c r="S8" i="2"/>
  <c r="L9" i="2"/>
  <c r="M9" i="2"/>
  <c r="N9" i="2"/>
  <c r="O9" i="2"/>
  <c r="P9" i="2"/>
  <c r="Q9" i="2"/>
  <c r="R9" i="2"/>
  <c r="S9" i="2"/>
  <c r="L10" i="2"/>
  <c r="M10" i="2"/>
  <c r="N10" i="2"/>
  <c r="O10" i="2"/>
  <c r="P10" i="2"/>
  <c r="Q10" i="2"/>
  <c r="R10" i="2"/>
  <c r="S10" i="2"/>
  <c r="L11" i="2"/>
  <c r="M11" i="2"/>
  <c r="N11" i="2"/>
  <c r="O11" i="2"/>
  <c r="P11" i="2"/>
  <c r="Q11" i="2"/>
  <c r="R11" i="2"/>
  <c r="S11" i="2"/>
  <c r="L12" i="2"/>
  <c r="M12" i="2"/>
  <c r="N12" i="2"/>
  <c r="O12" i="2"/>
  <c r="P12" i="2"/>
  <c r="Q12" i="2"/>
  <c r="R12" i="2"/>
  <c r="S12" i="2"/>
  <c r="L13" i="2"/>
  <c r="M13" i="2"/>
  <c r="N13" i="2"/>
  <c r="O13" i="2"/>
  <c r="P13" i="2"/>
  <c r="Q13" i="2"/>
  <c r="R13" i="2"/>
  <c r="S13" i="2"/>
  <c r="L14" i="2"/>
  <c r="M14" i="2"/>
  <c r="N14" i="2"/>
  <c r="O14" i="2"/>
  <c r="P14" i="2"/>
  <c r="Q14" i="2"/>
  <c r="R14" i="2"/>
  <c r="S14" i="2"/>
  <c r="L15" i="2"/>
  <c r="M15" i="2"/>
  <c r="N15" i="2"/>
  <c r="O15" i="2"/>
  <c r="P15" i="2"/>
  <c r="Q15" i="2"/>
  <c r="R15" i="2"/>
  <c r="S15" i="2"/>
  <c r="L16" i="2"/>
  <c r="M16" i="2"/>
  <c r="N16" i="2"/>
  <c r="O16" i="2"/>
  <c r="P16" i="2"/>
  <c r="Q16" i="2"/>
  <c r="R16" i="2"/>
  <c r="S16" i="2"/>
  <c r="L17" i="2"/>
  <c r="M17" i="2"/>
  <c r="N17" i="2"/>
  <c r="O17" i="2"/>
  <c r="P17" i="2"/>
  <c r="Q17" i="2"/>
  <c r="R17" i="2"/>
  <c r="S17" i="2"/>
  <c r="L18" i="2"/>
  <c r="M18" i="2"/>
  <c r="N18" i="2"/>
  <c r="O18" i="2"/>
  <c r="P18" i="2"/>
  <c r="Q18" i="2"/>
  <c r="R18" i="2"/>
  <c r="S18" i="2"/>
  <c r="L19" i="2"/>
  <c r="M19" i="2"/>
  <c r="N19" i="2"/>
  <c r="O19" i="2"/>
  <c r="P19" i="2"/>
  <c r="Q19" i="2"/>
  <c r="R19" i="2"/>
  <c r="S19" i="2"/>
  <c r="L20" i="2"/>
  <c r="M20" i="2"/>
  <c r="N20" i="2"/>
  <c r="O20" i="2"/>
  <c r="P20" i="2"/>
  <c r="Q20" i="2"/>
  <c r="R20" i="2"/>
  <c r="S20" i="2"/>
  <c r="L21" i="2"/>
  <c r="M21" i="2"/>
  <c r="N21" i="2"/>
  <c r="O21" i="2"/>
  <c r="P21" i="2"/>
  <c r="Q21" i="2"/>
  <c r="R21" i="2"/>
  <c r="S21" i="2"/>
  <c r="L22" i="2"/>
  <c r="M22" i="2"/>
  <c r="N22" i="2"/>
  <c r="O22" i="2"/>
  <c r="P22" i="2"/>
  <c r="Q22" i="2"/>
  <c r="R22" i="2"/>
  <c r="S22" i="2"/>
  <c r="L23" i="2"/>
  <c r="M23" i="2"/>
  <c r="N23" i="2"/>
  <c r="O23" i="2"/>
  <c r="P23" i="2"/>
  <c r="Q23" i="2"/>
  <c r="R23" i="2"/>
  <c r="S23" i="2"/>
  <c r="L24" i="2"/>
  <c r="M24" i="2"/>
  <c r="N24" i="2"/>
  <c r="O24" i="2"/>
  <c r="P24" i="2"/>
  <c r="Q24" i="2"/>
  <c r="R24" i="2"/>
  <c r="S24" i="2"/>
  <c r="L25" i="2"/>
  <c r="M25" i="2"/>
  <c r="N25" i="2"/>
  <c r="O25" i="2"/>
  <c r="P25" i="2"/>
  <c r="Q25" i="2"/>
  <c r="R25" i="2"/>
  <c r="S25" i="2"/>
  <c r="L26" i="2"/>
  <c r="M26" i="2"/>
  <c r="N26" i="2"/>
  <c r="O26" i="2"/>
  <c r="P26" i="2"/>
  <c r="Q26" i="2"/>
  <c r="R26" i="2"/>
  <c r="S26" i="2"/>
  <c r="L27" i="2"/>
  <c r="M27" i="2"/>
  <c r="N27" i="2"/>
  <c r="O27" i="2"/>
  <c r="P27" i="2"/>
  <c r="Q27" i="2"/>
  <c r="R27" i="2"/>
  <c r="S27" i="2"/>
  <c r="L28" i="2"/>
  <c r="M28" i="2"/>
  <c r="N28" i="2"/>
  <c r="O28" i="2"/>
  <c r="P28" i="2"/>
  <c r="Q28" i="2"/>
  <c r="R28" i="2"/>
  <c r="S28" i="2"/>
  <c r="L29" i="2"/>
  <c r="M29" i="2"/>
  <c r="N29" i="2"/>
  <c r="O29" i="2"/>
  <c r="P29" i="2"/>
  <c r="Q29" i="2"/>
  <c r="R29" i="2"/>
  <c r="S29" i="2"/>
  <c r="L30" i="2"/>
  <c r="M30" i="2"/>
  <c r="N30" i="2"/>
  <c r="O30" i="2"/>
  <c r="P30" i="2"/>
  <c r="Q30" i="2"/>
  <c r="R30" i="2"/>
  <c r="S30" i="2"/>
  <c r="L31" i="2"/>
  <c r="M31" i="2"/>
  <c r="N31" i="2"/>
  <c r="O31" i="2"/>
  <c r="P31" i="2"/>
  <c r="Q31" i="2"/>
  <c r="R31" i="2"/>
  <c r="S31" i="2"/>
  <c r="L32" i="2"/>
  <c r="M32" i="2"/>
  <c r="N32" i="2"/>
  <c r="O32" i="2"/>
  <c r="P32" i="2"/>
  <c r="Q32" i="2"/>
  <c r="R32" i="2"/>
  <c r="S32" i="2"/>
  <c r="L33" i="2"/>
  <c r="M33" i="2"/>
  <c r="N33" i="2"/>
  <c r="O33" i="2"/>
  <c r="P33" i="2"/>
  <c r="Q33" i="2"/>
  <c r="R33" i="2"/>
  <c r="S33" i="2"/>
  <c r="L34" i="2"/>
  <c r="M34" i="2"/>
  <c r="N34" i="2"/>
  <c r="O34" i="2"/>
  <c r="P34" i="2"/>
  <c r="Q34" i="2"/>
  <c r="R34" i="2"/>
  <c r="S34" i="2"/>
  <c r="L35" i="2"/>
  <c r="M35" i="2"/>
  <c r="N35" i="2"/>
  <c r="O35" i="2"/>
  <c r="P35" i="2"/>
  <c r="Q35" i="2"/>
  <c r="R35" i="2"/>
  <c r="S35" i="2"/>
  <c r="L36" i="2"/>
  <c r="M36" i="2"/>
  <c r="N36" i="2"/>
  <c r="O36" i="2"/>
  <c r="P36" i="2"/>
  <c r="Q36" i="2"/>
  <c r="R36" i="2"/>
  <c r="S36" i="2"/>
  <c r="L37" i="2"/>
  <c r="M37" i="2"/>
  <c r="N37" i="2"/>
  <c r="O37" i="2"/>
  <c r="P37" i="2"/>
  <c r="Q37" i="2"/>
  <c r="R37" i="2"/>
  <c r="S37" i="2"/>
  <c r="L38" i="2"/>
  <c r="M38" i="2"/>
  <c r="N38" i="2"/>
  <c r="O38" i="2"/>
  <c r="P38" i="2"/>
  <c r="Q38" i="2"/>
  <c r="R38" i="2"/>
  <c r="S38" i="2"/>
  <c r="L39" i="2"/>
  <c r="M39" i="2"/>
  <c r="N39" i="2"/>
  <c r="O39" i="2"/>
  <c r="P39" i="2"/>
  <c r="Q39" i="2"/>
  <c r="R39" i="2"/>
  <c r="S39" i="2"/>
  <c r="L40" i="2"/>
  <c r="M40" i="2"/>
  <c r="N40" i="2"/>
  <c r="O40" i="2"/>
  <c r="P40" i="2"/>
  <c r="Q40" i="2"/>
  <c r="R40" i="2"/>
  <c r="S40" i="2"/>
  <c r="L41" i="2"/>
  <c r="M41" i="2"/>
  <c r="N41" i="2"/>
  <c r="O41" i="2"/>
  <c r="P41" i="2"/>
  <c r="Q41" i="2"/>
  <c r="R41" i="2"/>
  <c r="S41" i="2"/>
  <c r="L42" i="2"/>
  <c r="M42" i="2"/>
  <c r="N42" i="2"/>
  <c r="O42" i="2"/>
  <c r="P42" i="2"/>
  <c r="Q42" i="2"/>
  <c r="R42" i="2"/>
  <c r="S42" i="2"/>
  <c r="L43" i="2"/>
  <c r="M43" i="2"/>
  <c r="N43" i="2"/>
  <c r="O43" i="2"/>
  <c r="P43" i="2"/>
  <c r="Q43" i="2"/>
  <c r="R43" i="2"/>
  <c r="S43" i="2"/>
  <c r="L44" i="2"/>
  <c r="M44" i="2"/>
  <c r="N44" i="2"/>
  <c r="O44" i="2"/>
  <c r="P44" i="2"/>
  <c r="Q44" i="2"/>
  <c r="R44" i="2"/>
  <c r="S44" i="2"/>
  <c r="L45" i="2"/>
  <c r="M45" i="2"/>
  <c r="N45" i="2"/>
  <c r="O45" i="2"/>
  <c r="P45" i="2"/>
  <c r="Q45" i="2"/>
  <c r="R45" i="2"/>
  <c r="S45" i="2"/>
  <c r="L46" i="2"/>
  <c r="M46" i="2"/>
  <c r="N46" i="2"/>
  <c r="O46" i="2"/>
  <c r="P46" i="2"/>
  <c r="Q46" i="2"/>
  <c r="R46" i="2"/>
  <c r="S46" i="2"/>
  <c r="L47" i="2"/>
  <c r="M47" i="2"/>
  <c r="N47" i="2"/>
  <c r="O47" i="2"/>
  <c r="P47" i="2"/>
  <c r="Q47" i="2"/>
  <c r="R47" i="2"/>
  <c r="S47" i="2"/>
  <c r="L48" i="2"/>
  <c r="M48" i="2"/>
  <c r="N48" i="2"/>
  <c r="O48" i="2"/>
  <c r="P48" i="2"/>
  <c r="Q48" i="2"/>
  <c r="R48" i="2"/>
  <c r="S48" i="2"/>
  <c r="L49" i="2"/>
  <c r="M49" i="2"/>
  <c r="N49" i="2"/>
  <c r="O49" i="2"/>
  <c r="P49" i="2"/>
  <c r="Q49" i="2"/>
  <c r="R49" i="2"/>
  <c r="S49" i="2"/>
  <c r="S2" i="2"/>
  <c r="R2" i="2"/>
  <c r="Q2" i="2"/>
  <c r="P2" i="2"/>
  <c r="O2" i="2"/>
  <c r="N2" i="2"/>
  <c r="M2" i="2"/>
  <c r="L2" i="2"/>
  <c r="T3" i="1"/>
  <c r="U3" i="1"/>
  <c r="V3" i="1"/>
  <c r="W3" i="1"/>
  <c r="X3" i="1"/>
  <c r="Y3" i="1"/>
  <c r="Z3" i="1"/>
  <c r="AA3" i="1"/>
  <c r="T4" i="1"/>
  <c r="U4" i="1"/>
  <c r="V4" i="1"/>
  <c r="W4" i="1"/>
  <c r="X4" i="1"/>
  <c r="Y4" i="1"/>
  <c r="Z4" i="1"/>
  <c r="AA4" i="1"/>
  <c r="T5" i="1"/>
  <c r="U5" i="1"/>
  <c r="V5" i="1"/>
  <c r="W5" i="1"/>
  <c r="X5" i="1"/>
  <c r="Y5" i="1"/>
  <c r="Z5" i="1"/>
  <c r="AA5" i="1"/>
  <c r="T6" i="1"/>
  <c r="U6" i="1"/>
  <c r="V6" i="1"/>
  <c r="W6" i="1"/>
  <c r="X6" i="1"/>
  <c r="Y6" i="1"/>
  <c r="Z6" i="1"/>
  <c r="AA6" i="1"/>
  <c r="T7" i="1"/>
  <c r="U7" i="1"/>
  <c r="V7" i="1"/>
  <c r="W7" i="1"/>
  <c r="X7" i="1"/>
  <c r="Y7" i="1"/>
  <c r="Z7" i="1"/>
  <c r="AA7" i="1"/>
  <c r="T8" i="1"/>
  <c r="U8" i="1"/>
  <c r="V8" i="1"/>
  <c r="W8" i="1"/>
  <c r="X8" i="1"/>
  <c r="Y8" i="1"/>
  <c r="Z8" i="1"/>
  <c r="AA8" i="1"/>
  <c r="T9" i="1"/>
  <c r="U9" i="1"/>
  <c r="V9" i="1"/>
  <c r="W9" i="1"/>
  <c r="X9" i="1"/>
  <c r="Y9" i="1"/>
  <c r="Z9" i="1"/>
  <c r="AA9" i="1"/>
  <c r="T10" i="1"/>
  <c r="U10" i="1"/>
  <c r="V10" i="1"/>
  <c r="W10" i="1"/>
  <c r="X10" i="1"/>
  <c r="Y10" i="1"/>
  <c r="Z10" i="1"/>
  <c r="AA10" i="1"/>
  <c r="T11" i="1"/>
  <c r="U11" i="1"/>
  <c r="V11" i="1"/>
  <c r="W11" i="1"/>
  <c r="X11" i="1"/>
  <c r="Y11" i="1"/>
  <c r="Z11" i="1"/>
  <c r="AA11" i="1"/>
  <c r="T12" i="1"/>
  <c r="U12" i="1"/>
  <c r="V12" i="1"/>
  <c r="W12" i="1"/>
  <c r="X12" i="1"/>
  <c r="Y12" i="1"/>
  <c r="Z12" i="1"/>
  <c r="AA12" i="1"/>
  <c r="T13" i="1"/>
  <c r="U13" i="1"/>
  <c r="V13" i="1"/>
  <c r="W13" i="1"/>
  <c r="X13" i="1"/>
  <c r="Y13" i="1"/>
  <c r="Z13" i="1"/>
  <c r="AA13" i="1"/>
  <c r="T14" i="1"/>
  <c r="U14" i="1"/>
  <c r="V14" i="1"/>
  <c r="W14" i="1"/>
  <c r="X14" i="1"/>
  <c r="Y14" i="1"/>
  <c r="Z14" i="1"/>
  <c r="AA14" i="1"/>
  <c r="T15" i="1"/>
  <c r="U15" i="1"/>
  <c r="V15" i="1"/>
  <c r="W15" i="1"/>
  <c r="X15" i="1"/>
  <c r="Y15" i="1"/>
  <c r="Z15" i="1"/>
  <c r="AA15" i="1"/>
  <c r="T16" i="1"/>
  <c r="U16" i="1"/>
  <c r="V16" i="1"/>
  <c r="W16" i="1"/>
  <c r="X16" i="1"/>
  <c r="Y16" i="1"/>
  <c r="Z16" i="1"/>
  <c r="AA16" i="1"/>
  <c r="T17" i="1"/>
  <c r="U17" i="1"/>
  <c r="V17" i="1"/>
  <c r="W17" i="1"/>
  <c r="X17" i="1"/>
  <c r="Y17" i="1"/>
  <c r="Z17" i="1"/>
  <c r="AA17" i="1"/>
  <c r="T18" i="1"/>
  <c r="U18" i="1"/>
  <c r="V18" i="1"/>
  <c r="W18" i="1"/>
  <c r="X18" i="1"/>
  <c r="Y18" i="1"/>
  <c r="Z18" i="1"/>
  <c r="AA18" i="1"/>
  <c r="T19" i="1"/>
  <c r="U19" i="1"/>
  <c r="V19" i="1"/>
  <c r="W19" i="1"/>
  <c r="X19" i="1"/>
  <c r="Y19" i="1"/>
  <c r="Z19" i="1"/>
  <c r="AA19" i="1"/>
  <c r="T20" i="1"/>
  <c r="U20" i="1"/>
  <c r="V20" i="1"/>
  <c r="W20" i="1"/>
  <c r="X20" i="1"/>
  <c r="Y20" i="1"/>
  <c r="Z20" i="1"/>
  <c r="AA20" i="1"/>
  <c r="T21" i="1"/>
  <c r="U21" i="1"/>
  <c r="V21" i="1"/>
  <c r="W21" i="1"/>
  <c r="X21" i="1"/>
  <c r="Y21" i="1"/>
  <c r="Z21" i="1"/>
  <c r="AA21" i="1"/>
  <c r="T22" i="1"/>
  <c r="U22" i="1"/>
  <c r="V22" i="1"/>
  <c r="W22" i="1"/>
  <c r="X22" i="1"/>
  <c r="Y22" i="1"/>
  <c r="Z22" i="1"/>
  <c r="AA22" i="1"/>
  <c r="T23" i="1"/>
  <c r="U23" i="1"/>
  <c r="V23" i="1"/>
  <c r="W23" i="1"/>
  <c r="X23" i="1"/>
  <c r="Y23" i="1"/>
  <c r="Z23" i="1"/>
  <c r="AA23" i="1"/>
  <c r="T24" i="1"/>
  <c r="U24" i="1"/>
  <c r="V24" i="1"/>
  <c r="W24" i="1"/>
  <c r="X24" i="1"/>
  <c r="Y24" i="1"/>
  <c r="Z24" i="1"/>
  <c r="AA24" i="1"/>
  <c r="T25" i="1"/>
  <c r="U25" i="1"/>
  <c r="V25" i="1"/>
  <c r="W25" i="1"/>
  <c r="X25" i="1"/>
  <c r="Y25" i="1"/>
  <c r="Z25" i="1"/>
  <c r="AA25" i="1"/>
  <c r="T26" i="1"/>
  <c r="U26" i="1"/>
  <c r="V26" i="1"/>
  <c r="W26" i="1"/>
  <c r="X26" i="1"/>
  <c r="Y26" i="1"/>
  <c r="Z26" i="1"/>
  <c r="AA26" i="1"/>
  <c r="T27" i="1"/>
  <c r="U27" i="1"/>
  <c r="V27" i="1"/>
  <c r="W27" i="1"/>
  <c r="X27" i="1"/>
  <c r="Y27" i="1"/>
  <c r="Z27" i="1"/>
  <c r="AA27" i="1"/>
  <c r="T28" i="1"/>
  <c r="U28" i="1"/>
  <c r="V28" i="1"/>
  <c r="W28" i="1"/>
  <c r="X28" i="1"/>
  <c r="Y28" i="1"/>
  <c r="Z28" i="1"/>
  <c r="AA28" i="1"/>
  <c r="T29" i="1"/>
  <c r="U29" i="1"/>
  <c r="V29" i="1"/>
  <c r="W29" i="1"/>
  <c r="X29" i="1"/>
  <c r="Y29" i="1"/>
  <c r="Z29" i="1"/>
  <c r="AA29" i="1"/>
  <c r="T30" i="1"/>
  <c r="U30" i="1"/>
  <c r="V30" i="1"/>
  <c r="W30" i="1"/>
  <c r="X30" i="1"/>
  <c r="Y30" i="1"/>
  <c r="Z30" i="1"/>
  <c r="AA30" i="1"/>
  <c r="T31" i="1"/>
  <c r="U31" i="1"/>
  <c r="V31" i="1"/>
  <c r="W31" i="1"/>
  <c r="X31" i="1"/>
  <c r="Y31" i="1"/>
  <c r="Z31" i="1"/>
  <c r="AA31" i="1"/>
  <c r="T32" i="1"/>
  <c r="U32" i="1"/>
  <c r="V32" i="1"/>
  <c r="W32" i="1"/>
  <c r="X32" i="1"/>
  <c r="Y32" i="1"/>
  <c r="Z32" i="1"/>
  <c r="AA32" i="1"/>
  <c r="T33" i="1"/>
  <c r="U33" i="1"/>
  <c r="V33" i="1"/>
  <c r="W33" i="1"/>
  <c r="X33" i="1"/>
  <c r="Y33" i="1"/>
  <c r="Z33" i="1"/>
  <c r="AA33" i="1"/>
  <c r="T34" i="1"/>
  <c r="U34" i="1"/>
  <c r="V34" i="1"/>
  <c r="W34" i="1"/>
  <c r="X34" i="1"/>
  <c r="Y34" i="1"/>
  <c r="Z34" i="1"/>
  <c r="AA34" i="1"/>
  <c r="T35" i="1"/>
  <c r="U35" i="1"/>
  <c r="V35" i="1"/>
  <c r="W35" i="1"/>
  <c r="X35" i="1"/>
  <c r="Y35" i="1"/>
  <c r="Z35" i="1"/>
  <c r="AA35" i="1"/>
  <c r="T36" i="1"/>
  <c r="U36" i="1"/>
  <c r="V36" i="1"/>
  <c r="W36" i="1"/>
  <c r="X36" i="1"/>
  <c r="Y36" i="1"/>
  <c r="Z36" i="1"/>
  <c r="AA36" i="1"/>
  <c r="T37" i="1"/>
  <c r="U37" i="1"/>
  <c r="V37" i="1"/>
  <c r="W37" i="1"/>
  <c r="X37" i="1"/>
  <c r="Y37" i="1"/>
  <c r="Z37" i="1"/>
  <c r="AA37" i="1"/>
  <c r="T38" i="1"/>
  <c r="U38" i="1"/>
  <c r="V38" i="1"/>
  <c r="W38" i="1"/>
  <c r="X38" i="1"/>
  <c r="Y38" i="1"/>
  <c r="Z38" i="1"/>
  <c r="AA38" i="1"/>
  <c r="T39" i="1"/>
  <c r="U39" i="1"/>
  <c r="V39" i="1"/>
  <c r="W39" i="1"/>
  <c r="X39" i="1"/>
  <c r="Y39" i="1"/>
  <c r="Z39" i="1"/>
  <c r="AA39" i="1"/>
  <c r="T40" i="1"/>
  <c r="U40" i="1"/>
  <c r="V40" i="1"/>
  <c r="W40" i="1"/>
  <c r="X40" i="1"/>
  <c r="Y40" i="1"/>
  <c r="Z40" i="1"/>
  <c r="AA40" i="1"/>
  <c r="T41" i="1"/>
  <c r="U41" i="1"/>
  <c r="V41" i="1"/>
  <c r="W41" i="1"/>
  <c r="X41" i="1"/>
  <c r="Y41" i="1"/>
  <c r="Z41" i="1"/>
  <c r="AA41" i="1"/>
  <c r="T42" i="1"/>
  <c r="U42" i="1"/>
  <c r="V42" i="1"/>
  <c r="W42" i="1"/>
  <c r="X42" i="1"/>
  <c r="Y42" i="1"/>
  <c r="Z42" i="1"/>
  <c r="AA42" i="1"/>
  <c r="T43" i="1"/>
  <c r="U43" i="1"/>
  <c r="V43" i="1"/>
  <c r="W43" i="1"/>
  <c r="X43" i="1"/>
  <c r="Y43" i="1"/>
  <c r="Z43" i="1"/>
  <c r="AA43" i="1"/>
  <c r="T44" i="1"/>
  <c r="U44" i="1"/>
  <c r="V44" i="1"/>
  <c r="W44" i="1"/>
  <c r="X44" i="1"/>
  <c r="Y44" i="1"/>
  <c r="Z44" i="1"/>
  <c r="AA44" i="1"/>
  <c r="T45" i="1"/>
  <c r="U45" i="1"/>
  <c r="V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AA2" i="1"/>
  <c r="Z2" i="1"/>
  <c r="Y2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<sst xmlns="http://schemas.openxmlformats.org/spreadsheetml/2006/main" count="2898" uniqueCount="761">
  <si>
    <t>country</t>
  </si>
  <si>
    <t>EST</t>
  </si>
  <si>
    <t>SWE</t>
  </si>
  <si>
    <t>NOR</t>
  </si>
  <si>
    <t>SVN</t>
  </si>
  <si>
    <t>LVA</t>
  </si>
  <si>
    <t>HUN</t>
  </si>
  <si>
    <t>RUS</t>
  </si>
  <si>
    <t>FIN</t>
  </si>
  <si>
    <t>LTU</t>
  </si>
  <si>
    <t>DNK</t>
  </si>
  <si>
    <t>BLR</t>
  </si>
  <si>
    <t>PRT</t>
  </si>
  <si>
    <t>HRV</t>
  </si>
  <si>
    <t>MLT</t>
  </si>
  <si>
    <t>TJK</t>
  </si>
  <si>
    <t>BEN</t>
  </si>
  <si>
    <t>IRL</t>
  </si>
  <si>
    <t>POL</t>
  </si>
  <si>
    <t>GEO</t>
  </si>
  <si>
    <t>BGD</t>
  </si>
  <si>
    <t>BEL</t>
  </si>
  <si>
    <t>ROU</t>
  </si>
  <si>
    <t>ITA</t>
  </si>
  <si>
    <t>ESP</t>
  </si>
  <si>
    <t>CYP</t>
  </si>
  <si>
    <t>MNE</t>
  </si>
  <si>
    <t>NPL</t>
  </si>
  <si>
    <t>TLS</t>
  </si>
  <si>
    <t>UKR</t>
  </si>
  <si>
    <t>ARM</t>
  </si>
  <si>
    <t>TZA</t>
  </si>
  <si>
    <t>ISL</t>
  </si>
  <si>
    <t>MDV</t>
  </si>
  <si>
    <t>JOR</t>
  </si>
  <si>
    <t>MLI</t>
  </si>
  <si>
    <t>COL</t>
  </si>
  <si>
    <t>AUT</t>
  </si>
  <si>
    <t>PER</t>
  </si>
  <si>
    <t>CZE</t>
  </si>
  <si>
    <t>EGY</t>
  </si>
  <si>
    <t>IRN</t>
  </si>
  <si>
    <t>CHE</t>
  </si>
  <si>
    <t>HKG</t>
  </si>
  <si>
    <t>GAB</t>
  </si>
  <si>
    <t>UGA</t>
  </si>
  <si>
    <t>KOR</t>
  </si>
  <si>
    <t>OMN</t>
  </si>
  <si>
    <t>SAU</t>
  </si>
  <si>
    <t>CAN</t>
  </si>
  <si>
    <t>LAO</t>
  </si>
  <si>
    <t>DEU</t>
  </si>
  <si>
    <t>ZMB</t>
  </si>
  <si>
    <t>IDN</t>
  </si>
  <si>
    <t>KWT</t>
  </si>
  <si>
    <t>BRN</t>
  </si>
  <si>
    <t>AFG</t>
  </si>
  <si>
    <t>ALB</t>
  </si>
  <si>
    <t>DZA</t>
  </si>
  <si>
    <t>ASM</t>
  </si>
  <si>
    <t>AND</t>
  </si>
  <si>
    <t>NA</t>
  </si>
  <si>
    <t>AGO</t>
  </si>
  <si>
    <t>ATG</t>
  </si>
  <si>
    <t>ARG</t>
  </si>
  <si>
    <t>ABW</t>
  </si>
  <si>
    <t>AUS</t>
  </si>
  <si>
    <t>AZE</t>
  </si>
  <si>
    <t>BHS</t>
  </si>
  <si>
    <t>BHR</t>
  </si>
  <si>
    <t>BRB</t>
  </si>
  <si>
    <t>BLZ</t>
  </si>
  <si>
    <t>BMU</t>
  </si>
  <si>
    <t>BTN</t>
  </si>
  <si>
    <t>BOL</t>
  </si>
  <si>
    <t>BIH</t>
  </si>
  <si>
    <t>BWA</t>
  </si>
  <si>
    <t>BRA</t>
  </si>
  <si>
    <t>VGB</t>
  </si>
  <si>
    <t>BGR</t>
  </si>
  <si>
    <t>BFA</t>
  </si>
  <si>
    <t>BDI</t>
  </si>
  <si>
    <t>CPV</t>
  </si>
  <si>
    <t>KHM</t>
  </si>
  <si>
    <t>CMR</t>
  </si>
  <si>
    <t>CYM</t>
  </si>
  <si>
    <t>CAF</t>
  </si>
  <si>
    <t>TCD</t>
  </si>
  <si>
    <t>CHI</t>
  </si>
  <si>
    <t>CHL</t>
  </si>
  <si>
    <t>CHN</t>
  </si>
  <si>
    <t>COM</t>
  </si>
  <si>
    <t>COD</t>
  </si>
  <si>
    <t>COG</t>
  </si>
  <si>
    <t>CRI</t>
  </si>
  <si>
    <t>CIV</t>
  </si>
  <si>
    <t>CUB</t>
  </si>
  <si>
    <t>CUW</t>
  </si>
  <si>
    <t>DJI</t>
  </si>
  <si>
    <t>DMA</t>
  </si>
  <si>
    <t>DOM</t>
  </si>
  <si>
    <t>ECU</t>
  </si>
  <si>
    <t>SLV</t>
  </si>
  <si>
    <t>GNQ</t>
  </si>
  <si>
    <t>ERI</t>
  </si>
  <si>
    <t>SWZ</t>
  </si>
  <si>
    <t>ETH</t>
  </si>
  <si>
    <t>FRO</t>
  </si>
  <si>
    <t>FJI</t>
  </si>
  <si>
    <t>FRA</t>
  </si>
  <si>
    <t>PYF</t>
  </si>
  <si>
    <t>GMB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</si>
  <si>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</si>
  <si>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</si>
  <si>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</si>
  <si>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</si>
  <si>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</si>
  <si>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</si>
  <si>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</si>
  <si>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</si>
  <si>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</si>
  <si>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</si>
  <si>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</si>
  <si>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</si>
  <si>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IND</t>
  </si>
  <si>
    <t>IRQ</t>
  </si>
  <si>
    <t>IMN</t>
  </si>
  <si>
    <t>ISR</t>
  </si>
  <si>
    <t>JAM</t>
  </si>
  <si>
    <t>JPN</t>
  </si>
  <si>
    <t>KAZ</t>
  </si>
  <si>
    <t>KEN</t>
  </si>
  <si>
    <t>KIR</t>
  </si>
  <si>
    <t>PRK</t>
  </si>
  <si>
    <t>XKX</t>
  </si>
  <si>
    <t>KGZ</t>
  </si>
  <si>
    <t>LBN</t>
  </si>
  <si>
    <t>LSO</t>
  </si>
  <si>
    <t>LBR</t>
  </si>
  <si>
    <t>LBY</t>
  </si>
  <si>
    <t>LIE</t>
  </si>
  <si>
    <t>LUX</t>
  </si>
  <si>
    <t>MAC</t>
  </si>
  <si>
    <t>MDG</t>
  </si>
  <si>
    <t>MWI</t>
  </si>
  <si>
    <t>MYS</t>
  </si>
  <si>
    <t>MHL</t>
  </si>
  <si>
    <t>MRT</t>
  </si>
  <si>
    <t>MUS</t>
  </si>
  <si>
    <t>MEX</t>
  </si>
  <si>
    <t>FSM</t>
  </si>
  <si>
    <t>MDA</t>
  </si>
  <si>
    <t>MCO</t>
  </si>
  <si>
    <t>MNG</t>
  </si>
  <si>
    <t>MAR</t>
  </si>
  <si>
    <t>MOZ</t>
  </si>
  <si>
    <t>MMR</t>
  </si>
  <si>
    <t>NAM</t>
  </si>
  <si>
    <t>NRU</t>
  </si>
  <si>
    <t>NLD</t>
  </si>
  <si>
    <t>NCL</t>
  </si>
  <si>
    <t>NZL</t>
  </si>
  <si>
    <t>NIC</t>
  </si>
  <si>
    <t>NER</t>
  </si>
  <si>
    <t>NGA</t>
  </si>
  <si>
    <t>MKD</t>
  </si>
  <si>
    <t>MNP</t>
  </si>
  <si>
    <t>PAK</t>
  </si>
  <si>
    <t>PLW</t>
  </si>
  <si>
    <t>PAN</t>
  </si>
  <si>
    <t>PNG</t>
  </si>
  <si>
    <t>PRY</t>
  </si>
  <si>
    <t>PHL</t>
  </si>
  <si>
    <t>PRI</t>
  </si>
  <si>
    <t>QAT</t>
  </si>
  <si>
    <t>RWA</t>
  </si>
  <si>
    <t>WSM</t>
  </si>
  <si>
    <t>SMR</t>
  </si>
  <si>
    <t>STP</t>
  </si>
  <si>
    <t>SEN</t>
  </si>
  <si>
    <t>SRB</t>
  </si>
  <si>
    <t>SYC</t>
  </si>
  <si>
    <t>SLE</t>
  </si>
  <si>
    <t>SGP</t>
  </si>
  <si>
    <t>SXM</t>
  </si>
  <si>
    <t>SVK</t>
  </si>
  <si>
    <t>SLB</t>
  </si>
  <si>
    <t>SOM</t>
  </si>
  <si>
    <t>ZAF</t>
  </si>
  <si>
    <t>SSD</t>
  </si>
  <si>
    <t>LKA</t>
  </si>
  <si>
    <t>KNA</t>
  </si>
  <si>
    <t>LCA</t>
  </si>
  <si>
    <t>MAF</t>
  </si>
  <si>
    <t>VCT</t>
  </si>
  <si>
    <t>SDN</t>
  </si>
  <si>
    <t>SUR</t>
  </si>
  <si>
    <t>SYR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</si>
  <si>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</si>
  <si>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</si>
  <si>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</si>
  <si>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</si>
  <si>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</si>
  <si>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</si>
  <si>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</si>
  <si>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</si>
  <si>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</si>
  <si>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</si>
  <si>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</si>
  <si>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</si>
  <si>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</si>
  <si>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</si>
  <si>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</si>
  <si>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</si>
  <si>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</si>
  <si>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</si>
  <si>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</si>
  <si>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</si>
  <si>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ZWE</t>
  </si>
  <si>
    <t>antibiotic</t>
  </si>
  <si>
    <t>aqua_gr</t>
  </si>
  <si>
    <t>year</t>
  </si>
  <si>
    <t>aquagr</t>
  </si>
  <si>
    <t>cid</t>
  </si>
  <si>
    <t>iso3</t>
  </si>
  <si>
    <t>code</t>
  </si>
  <si>
    <t>class</t>
  </si>
  <si>
    <t>Afghanistan</t>
  </si>
  <si>
    <t>LIC</t>
  </si>
  <si>
    <t>Burkina Faso</t>
  </si>
  <si>
    <t>Burundi</t>
  </si>
  <si>
    <t>Central African Republic</t>
  </si>
  <si>
    <t>Chad</t>
  </si>
  <si>
    <t>Congo, Dem. Rep.</t>
  </si>
  <si>
    <t>Eritrea</t>
  </si>
  <si>
    <t>Gambia, The</t>
  </si>
  <si>
    <t>Guinea-Bissau</t>
  </si>
  <si>
    <t>Korea, Dem. People's Rep.</t>
  </si>
  <si>
    <t>Liberia</t>
  </si>
  <si>
    <t>Madagascar</t>
  </si>
  <si>
    <t>Malawi</t>
  </si>
  <si>
    <t>Mali</t>
  </si>
  <si>
    <t>Mozambique</t>
  </si>
  <si>
    <t>Niger</t>
  </si>
  <si>
    <t>Rwanda</t>
  </si>
  <si>
    <t>Sierra Leone</t>
  </si>
  <si>
    <t>Somalia, Fed. Rep.</t>
  </si>
  <si>
    <t>South Sudan</t>
  </si>
  <si>
    <t>Sudan</t>
  </si>
  <si>
    <t>Syrian Arab Republic</t>
  </si>
  <si>
    <t>Togo</t>
  </si>
  <si>
    <t>Uganda</t>
  </si>
  <si>
    <t>Yemen, Rep.</t>
  </si>
  <si>
    <t>Angola</t>
  </si>
  <si>
    <t>LMIC</t>
  </si>
  <si>
    <t>Bangladesh</t>
  </si>
  <si>
    <t>Benin</t>
  </si>
  <si>
    <t>Bhutan</t>
  </si>
  <si>
    <t>Bolivia</t>
  </si>
  <si>
    <t>Cambodia</t>
  </si>
  <si>
    <t>Cameroon</t>
  </si>
  <si>
    <t>Comoros</t>
  </si>
  <si>
    <t>Congo, Rep.</t>
  </si>
  <si>
    <t>Cote d'Ivoire</t>
  </si>
  <si>
    <t>Djibouti</t>
  </si>
  <si>
    <t>Egypt, Arab Rep.</t>
  </si>
  <si>
    <t>Eswatini</t>
  </si>
  <si>
    <t>Ghana</t>
  </si>
  <si>
    <t>Guinea</t>
  </si>
  <si>
    <t>Haiti</t>
  </si>
  <si>
    <t>Honduras</t>
  </si>
  <si>
    <t>India</t>
  </si>
  <si>
    <t>Jordan</t>
  </si>
  <si>
    <t>Kenya</t>
  </si>
  <si>
    <t>Kiribati</t>
  </si>
  <si>
    <t>Kyrgyz Republic</t>
  </si>
  <si>
    <t>Lao PDR</t>
  </si>
  <si>
    <t>Lebanon</t>
  </si>
  <si>
    <t>Lesotho</t>
  </si>
  <si>
    <t>Mauritania</t>
  </si>
  <si>
    <t>Micronesia, Fed. Sts.</t>
  </si>
  <si>
    <t>Morocco</t>
  </si>
  <si>
    <t>Myanmar</t>
  </si>
  <si>
    <t>Namibia</t>
  </si>
  <si>
    <t>Nepal</t>
  </si>
  <si>
    <t>Nicaragua</t>
  </si>
  <si>
    <t>Nigeria</t>
  </si>
  <si>
    <t>Pakistan</t>
  </si>
  <si>
    <t>Papua New Guinea</t>
  </si>
  <si>
    <t>Philippines</t>
  </si>
  <si>
    <t>Sao Tome and Principe</t>
  </si>
  <si>
    <t>Senegal</t>
  </si>
  <si>
    <t>Solomon Islands</t>
  </si>
  <si>
    <t>Sri Lanka</t>
  </si>
  <si>
    <t>Tajikistan</t>
  </si>
  <si>
    <t>Tanzania</t>
  </si>
  <si>
    <t>Timor-Leste</t>
  </si>
  <si>
    <t>Tunisia</t>
  </si>
  <si>
    <t>Uzbekistan</t>
  </si>
  <si>
    <t>Vanuatu</t>
  </si>
  <si>
    <t>Viet Nam</t>
  </si>
  <si>
    <t>West Bank and Gaza</t>
  </si>
  <si>
    <t>Zambia</t>
  </si>
  <si>
    <t>Zimbabwe</t>
  </si>
  <si>
    <t>Albania</t>
  </si>
  <si>
    <t>UMIC</t>
  </si>
  <si>
    <t>Algeria</t>
  </si>
  <si>
    <t>Argentina</t>
  </si>
  <si>
    <t>Armenia</t>
  </si>
  <si>
    <t>Azerbaijan</t>
  </si>
  <si>
    <t>Belarus</t>
  </si>
  <si>
    <t>Belize</t>
  </si>
  <si>
    <t>Bosnia and Herzegovina</t>
  </si>
  <si>
    <t>Botswana</t>
  </si>
  <si>
    <t>Brazil</t>
  </si>
  <si>
    <t>Cabo Verde</t>
  </si>
  <si>
    <t>China</t>
  </si>
  <si>
    <t>Colombia</t>
  </si>
  <si>
    <t>Cuba</t>
  </si>
  <si>
    <t>Dominica</t>
  </si>
  <si>
    <t>Dominican Republic</t>
  </si>
  <si>
    <t>Ecuador</t>
  </si>
  <si>
    <t>El Salvador</t>
  </si>
  <si>
    <t>Equatorial Guinea</t>
  </si>
  <si>
    <t>Fiji</t>
  </si>
  <si>
    <t>Gabon</t>
  </si>
  <si>
    <t>Georgia</t>
  </si>
  <si>
    <t>Grenada</t>
  </si>
  <si>
    <t>Guatemala</t>
  </si>
  <si>
    <t>Indonesia</t>
  </si>
  <si>
    <t>Iran, Islamic Rep.</t>
  </si>
  <si>
    <t>Iraq</t>
  </si>
  <si>
    <t>Jamaica</t>
  </si>
  <si>
    <t>Kazakhstan</t>
  </si>
  <si>
    <t>Kosovo</t>
  </si>
  <si>
    <t>Libya</t>
  </si>
  <si>
    <t>Malaysia</t>
  </si>
  <si>
    <t>Maldives</t>
  </si>
  <si>
    <t>Marshall Islands</t>
  </si>
  <si>
    <t>Mauritius</t>
  </si>
  <si>
    <t>Mexico</t>
  </si>
  <si>
    <t>Moldova</t>
  </si>
  <si>
    <t>Mongolia</t>
  </si>
  <si>
    <t>Montenegro</t>
  </si>
  <si>
    <t>North Macedonia</t>
  </si>
  <si>
    <t>Paraguay</t>
  </si>
  <si>
    <t>Peru</t>
  </si>
  <si>
    <t>Samoa</t>
  </si>
  <si>
    <t>Serbia</t>
  </si>
  <si>
    <t>South Africa</t>
  </si>
  <si>
    <t>St. Lucia</t>
  </si>
  <si>
    <t>St. Vincent and the Grenadines</t>
  </si>
  <si>
    <t>Suriname</t>
  </si>
  <si>
    <t>Thailand</t>
  </si>
  <si>
    <t>Tonga</t>
  </si>
  <si>
    <t>Turkiye</t>
  </si>
  <si>
    <t>Turkmenistan</t>
  </si>
  <si>
    <t>Tuvalu</t>
  </si>
  <si>
    <t>Ukraine</t>
  </si>
  <si>
    <t>American Samoa</t>
  </si>
  <si>
    <t>HIC</t>
  </si>
  <si>
    <t>Andorra</t>
  </si>
  <si>
    <t>Antigua and Barbuda</t>
  </si>
  <si>
    <t>Aruba</t>
  </si>
  <si>
    <t>Australia</t>
  </si>
  <si>
    <t>Austria</t>
  </si>
  <si>
    <t>Bahamas, The</t>
  </si>
  <si>
    <t>Bahrain</t>
  </si>
  <si>
    <t>Barbados</t>
  </si>
  <si>
    <t>Belgium</t>
  </si>
  <si>
    <t>Bermuda</t>
  </si>
  <si>
    <t>British Virgin Islands</t>
  </si>
  <si>
    <t>Brunei Darussalam</t>
  </si>
  <si>
    <t>Bulgaria</t>
  </si>
  <si>
    <t>Canada</t>
  </si>
  <si>
    <t>Cayman Islands</t>
  </si>
  <si>
    <t>Channel Islands</t>
  </si>
  <si>
    <t>Chile</t>
  </si>
  <si>
    <t>Costa Rica</t>
  </si>
  <si>
    <t>Croatia</t>
  </si>
  <si>
    <t>Curacao</t>
  </si>
  <si>
    <t>Cyprus</t>
  </si>
  <si>
    <t>Czechia</t>
  </si>
  <si>
    <t>Denmark</t>
  </si>
  <si>
    <t>Estonia</t>
  </si>
  <si>
    <t>Faroe Islands</t>
  </si>
  <si>
    <t>Finland</t>
  </si>
  <si>
    <t>France</t>
  </si>
  <si>
    <t>French Polynesia</t>
  </si>
  <si>
    <t>Germany</t>
  </si>
  <si>
    <t>Gibraltar</t>
  </si>
  <si>
    <t>Greece</t>
  </si>
  <si>
    <t>Greenland</t>
  </si>
  <si>
    <t>Guam</t>
  </si>
  <si>
    <t>Guyana</t>
  </si>
  <si>
    <t>Hong Kong SAR, China</t>
  </si>
  <si>
    <t>Hungary</t>
  </si>
  <si>
    <t>Iceland</t>
  </si>
  <si>
    <t>Ireland</t>
  </si>
  <si>
    <t>Isle of Man</t>
  </si>
  <si>
    <t>Israel</t>
  </si>
  <si>
    <t>Italy</t>
  </si>
  <si>
    <t>Japan</t>
  </si>
  <si>
    <t>Korea, Rep.</t>
  </si>
  <si>
    <t>Kuwait</t>
  </si>
  <si>
    <t>Latvia</t>
  </si>
  <si>
    <t>Liechtenstein</t>
  </si>
  <si>
    <t>Lithuania</t>
  </si>
  <si>
    <t>Luxembourg</t>
  </si>
  <si>
    <t>Macao SAR, China</t>
  </si>
  <si>
    <t>Malta</t>
  </si>
  <si>
    <t>Monaco</t>
  </si>
  <si>
    <t>Nauru</t>
  </si>
  <si>
    <t>Netherlands</t>
  </si>
  <si>
    <t>New Caledonia</t>
  </si>
  <si>
    <t>New Zealand</t>
  </si>
  <si>
    <t>Northern Mariana Islands</t>
  </si>
  <si>
    <t>Norway</t>
  </si>
  <si>
    <t>Oman</t>
  </si>
  <si>
    <t>Palau</t>
  </si>
  <si>
    <t>Panama</t>
  </si>
  <si>
    <t>Poland</t>
  </si>
  <si>
    <t>Portugal</t>
  </si>
  <si>
    <t>Puerto Rico (US)</t>
  </si>
  <si>
    <t>Qatar</t>
  </si>
  <si>
    <t>Romania</t>
  </si>
  <si>
    <t>Russian Federation</t>
  </si>
  <si>
    <t>San Marino</t>
  </si>
  <si>
    <t>Saudi Arabia</t>
  </si>
  <si>
    <t>Seychelles</t>
  </si>
  <si>
    <t>Singapore</t>
  </si>
  <si>
    <t>Sint Maarten (Dutch part)</t>
  </si>
  <si>
    <t>Slovak Republic</t>
  </si>
  <si>
    <t>Slovenia</t>
  </si>
  <si>
    <t>Spain</t>
  </si>
  <si>
    <t>St. Kitts and Nevis</t>
  </si>
  <si>
    <t>St. Martin (French part)</t>
  </si>
  <si>
    <t>Sweden</t>
  </si>
  <si>
    <t>Switzerland</t>
  </si>
  <si>
    <t>Trinidad and Tobago</t>
  </si>
  <si>
    <t>Turks and Caicos Islands</t>
  </si>
  <si>
    <t>United Arab Emirates</t>
  </si>
  <si>
    <t>United Kingdom</t>
  </si>
  <si>
    <t>United States</t>
  </si>
  <si>
    <t>Uruguay</t>
  </si>
  <si>
    <t>Virgin Islands (U.S.)</t>
  </si>
  <si>
    <t>Ethiopia</t>
  </si>
  <si>
    <t xml:space="preserve"> 1 - 16</t>
  </si>
  <si>
    <t xml:space="preserve"> 1 - 17</t>
  </si>
  <si>
    <t xml:space="preserve"> 1 - 18</t>
  </si>
  <si>
    <t xml:space="preserve"> 1 - 19</t>
  </si>
  <si>
    <t xml:space="preserve"> 1 - 20</t>
  </si>
  <si>
    <t xml:space="preserve"> 1 - 21</t>
  </si>
  <si>
    <t xml:space="preserve"> 1 - 22</t>
  </si>
  <si>
    <t xml:space="preserve"> 1 - 23</t>
  </si>
  <si>
    <t xml:space="preserve"> 2 - 16</t>
  </si>
  <si>
    <t xml:space="preserve"> 2 - 17</t>
  </si>
  <si>
    <t xml:space="preserve"> 2 - 18</t>
  </si>
  <si>
    <t xml:space="preserve"> 2 - 19</t>
  </si>
  <si>
    <t xml:space="preserve"> 2 - 20</t>
  </si>
  <si>
    <t xml:space="preserve"> 2 - 21</t>
  </si>
  <si>
    <t xml:space="preserve"> 2 - 22</t>
  </si>
  <si>
    <t xml:space="preserve"> 2 - 23</t>
  </si>
  <si>
    <t xml:space="preserve"> 3 - 16</t>
  </si>
  <si>
    <t xml:space="preserve"> 3 - 17</t>
  </si>
  <si>
    <t xml:space="preserve"> 3 - 18</t>
  </si>
  <si>
    <t xml:space="preserve"> 3 - 19</t>
  </si>
  <si>
    <t xml:space="preserve"> 3 - 20</t>
  </si>
  <si>
    <t xml:space="preserve"> 3 - 21</t>
  </si>
  <si>
    <t xml:space="preserve"> 3 - 22</t>
  </si>
  <si>
    <t xml:space="preserve"> 3 - 23</t>
  </si>
  <si>
    <t xml:space="preserve"> 4 - 16</t>
  </si>
  <si>
    <t xml:space="preserve"> 4 - 17</t>
  </si>
  <si>
    <t xml:space="preserve"> 4 - 18</t>
  </si>
  <si>
    <t xml:space="preserve"> 4 - 19</t>
  </si>
  <si>
    <t xml:space="preserve"> 4 - 20</t>
  </si>
  <si>
    <t xml:space="preserve"> 4 - 21</t>
  </si>
  <si>
    <t xml:space="preserve"> 4 - 22</t>
  </si>
  <si>
    <t xml:space="preserve"> 4 - 23</t>
  </si>
  <si>
    <t xml:space="preserve"> 5 - 16</t>
  </si>
  <si>
    <t xml:space="preserve"> 5 - 17</t>
  </si>
  <si>
    <t xml:space="preserve"> 5 - 18</t>
  </si>
  <si>
    <t xml:space="preserve"> 5 - 19</t>
  </si>
  <si>
    <t xml:space="preserve"> 5 - 20</t>
  </si>
  <si>
    <t xml:space="preserve"> 5 - 21</t>
  </si>
  <si>
    <t xml:space="preserve"> 5 - 22</t>
  </si>
  <si>
    <t xml:space="preserve"> 5 - 23</t>
  </si>
  <si>
    <t xml:space="preserve"> 6 - 16</t>
  </si>
  <si>
    <t xml:space="preserve"> 6 - 17</t>
  </si>
  <si>
    <t xml:space="preserve"> 6 - 18</t>
  </si>
  <si>
    <t xml:space="preserve"> 6 - 19</t>
  </si>
  <si>
    <t xml:space="preserve"> 6 - 20</t>
  </si>
  <si>
    <t xml:space="preserve"> 6 - 21</t>
  </si>
  <si>
    <t xml:space="preserve"> 6 - 22</t>
  </si>
  <si>
    <t xml:space="preserve"> 6 - 23</t>
  </si>
  <si>
    <t xml:space="preserve"> 7 - 16</t>
  </si>
  <si>
    <t xml:space="preserve"> 7 - 17</t>
  </si>
  <si>
    <t xml:space="preserve"> 7 - 18</t>
  </si>
  <si>
    <t xml:space="preserve"> 7 - 19</t>
  </si>
  <si>
    <t xml:space="preserve"> 7 - 20</t>
  </si>
  <si>
    <t xml:space="preserve"> 7 - 21</t>
  </si>
  <si>
    <t xml:space="preserve"> 7 - 22</t>
  </si>
  <si>
    <t xml:space="preserve"> 7 - 23</t>
  </si>
  <si>
    <t xml:space="preserve"> 8 - 16</t>
  </si>
  <si>
    <t xml:space="preserve"> 8 - 17</t>
  </si>
  <si>
    <t xml:space="preserve"> 8 - 18</t>
  </si>
  <si>
    <t xml:space="preserve"> 8 - 19</t>
  </si>
  <si>
    <t xml:space="preserve"> 8 - 20</t>
  </si>
  <si>
    <t xml:space="preserve"> 8 - 21</t>
  </si>
  <si>
    <t xml:space="preserve"> 8 - 22</t>
  </si>
  <si>
    <t xml:space="preserve"> 8 - 23</t>
  </si>
  <si>
    <t xml:space="preserve"> 9 - 16</t>
  </si>
  <si>
    <t xml:space="preserve"> 9 - 17</t>
  </si>
  <si>
    <t xml:space="preserve"> 9 - 18</t>
  </si>
  <si>
    <t xml:space="preserve"> 9 - 19</t>
  </si>
  <si>
    <t xml:space="preserve"> 9 - 20</t>
  </si>
  <si>
    <t xml:space="preserve"> 9 - 21</t>
  </si>
  <si>
    <t xml:space="preserve"> 9 - 22</t>
  </si>
  <si>
    <t xml:space="preserve"> 9 - 23</t>
  </si>
  <si>
    <t xml:space="preserve"> 10 - 16</t>
  </si>
  <si>
    <t xml:space="preserve"> 10 - 17</t>
  </si>
  <si>
    <t xml:space="preserve"> 10 - 18</t>
  </si>
  <si>
    <t xml:space="preserve"> 10 - 19</t>
  </si>
  <si>
    <t xml:space="preserve"> 10 - 20</t>
  </si>
  <si>
    <t xml:space="preserve"> 10 - 21</t>
  </si>
  <si>
    <t xml:space="preserve"> 10 - 22</t>
  </si>
  <si>
    <t xml:space="preserve"> 10 - 23</t>
  </si>
  <si>
    <t xml:space="preserve"> 11 - 16</t>
  </si>
  <si>
    <t xml:space="preserve"> 11 - 17</t>
  </si>
  <si>
    <t xml:space="preserve"> 11 - 18</t>
  </si>
  <si>
    <t xml:space="preserve"> 11 - 19</t>
  </si>
  <si>
    <t xml:space="preserve"> 11 - 20</t>
  </si>
  <si>
    <t xml:space="preserve"> 11 - 21</t>
  </si>
  <si>
    <t xml:space="preserve"> 11 - 22</t>
  </si>
  <si>
    <t xml:space="preserve"> 11 - 23</t>
  </si>
  <si>
    <t xml:space="preserve"> 12 - 16</t>
  </si>
  <si>
    <t xml:space="preserve"> 12 - 17</t>
  </si>
  <si>
    <t xml:space="preserve"> 12 - 18</t>
  </si>
  <si>
    <t xml:space="preserve"> 12 - 19</t>
  </si>
  <si>
    <t xml:space="preserve"> 12 - 20</t>
  </si>
  <si>
    <t xml:space="preserve"> 12 - 21</t>
  </si>
  <si>
    <t xml:space="preserve"> 12 - 22</t>
  </si>
  <si>
    <t xml:space="preserve"> 12 - 23</t>
  </si>
  <si>
    <t xml:space="preserve"> 13 - 16</t>
  </si>
  <si>
    <t xml:space="preserve"> 13 - 17</t>
  </si>
  <si>
    <t xml:space="preserve"> 13 - 18</t>
  </si>
  <si>
    <t xml:space="preserve"> 13 - 19</t>
  </si>
  <si>
    <t xml:space="preserve"> 13 - 20</t>
  </si>
  <si>
    <t xml:space="preserve"> 13 - 21</t>
  </si>
  <si>
    <t xml:space="preserve"> 13 - 22</t>
  </si>
  <si>
    <t xml:space="preserve"> 13 - 23</t>
  </si>
  <si>
    <t xml:space="preserve"> 14 - 16</t>
  </si>
  <si>
    <t xml:space="preserve"> 14 - 17</t>
  </si>
  <si>
    <t xml:space="preserve"> 14 - 18</t>
  </si>
  <si>
    <t xml:space="preserve"> 14 - 19</t>
  </si>
  <si>
    <t xml:space="preserve"> 14 - 20</t>
  </si>
  <si>
    <t xml:space="preserve"> 14 - 21</t>
  </si>
  <si>
    <t xml:space="preserve"> 14 - 22</t>
  </si>
  <si>
    <t xml:space="preserve"> 14 - 23</t>
  </si>
  <si>
    <t xml:space="preserve"> 15 - 16</t>
  </si>
  <si>
    <t xml:space="preserve"> 15 - 17</t>
  </si>
  <si>
    <t xml:space="preserve"> 15 - 18</t>
  </si>
  <si>
    <t xml:space="preserve"> 15 - 19</t>
  </si>
  <si>
    <t xml:space="preserve"> 15 - 20</t>
  </si>
  <si>
    <t xml:space="preserve"> 15 - 21</t>
  </si>
  <si>
    <t xml:space="preserve"> 15 - 22</t>
  </si>
  <si>
    <t xml:space="preserve"> 15 - 23</t>
  </si>
  <si>
    <t xml:space="preserve"> 16 - 16</t>
  </si>
  <si>
    <t xml:space="preserve"> 16 - 17</t>
  </si>
  <si>
    <t xml:space="preserve"> 16 - 18</t>
  </si>
  <si>
    <t xml:space="preserve"> 16 - 19</t>
  </si>
  <si>
    <t xml:space="preserve"> 16 - 20</t>
  </si>
  <si>
    <t xml:space="preserve"> 16 - 21</t>
  </si>
  <si>
    <t xml:space="preserve"> 16 - 22</t>
  </si>
  <si>
    <t xml:space="preserve"> 16 - 23</t>
  </si>
  <si>
    <t xml:space="preserve"> 17 - 16</t>
  </si>
  <si>
    <t xml:space="preserve"> 17 - 17</t>
  </si>
  <si>
    <t xml:space="preserve"> 17 - 18</t>
  </si>
  <si>
    <t xml:space="preserve"> 17 - 19</t>
  </si>
  <si>
    <t xml:space="preserve"> 17 - 20</t>
  </si>
  <si>
    <t xml:space="preserve"> 17 - 21</t>
  </si>
  <si>
    <t xml:space="preserve"> 17 - 22</t>
  </si>
  <si>
    <t xml:space="preserve"> 17 - 23</t>
  </si>
  <si>
    <t xml:space="preserve"> 18 - 16</t>
  </si>
  <si>
    <t xml:space="preserve"> 18 - 17</t>
  </si>
  <si>
    <t xml:space="preserve"> 18 - 18</t>
  </si>
  <si>
    <t xml:space="preserve"> 18 - 19</t>
  </si>
  <si>
    <t xml:space="preserve"> 18 - 20</t>
  </si>
  <si>
    <t xml:space="preserve"> 18 - 21</t>
  </si>
  <si>
    <t xml:space="preserve"> 18 - 22</t>
  </si>
  <si>
    <t xml:space="preserve"> 18 - 23</t>
  </si>
  <si>
    <t xml:space="preserve"> 19 - 16</t>
  </si>
  <si>
    <t xml:space="preserve"> 19 - 17</t>
  </si>
  <si>
    <t xml:space="preserve"> 19 - 18</t>
  </si>
  <si>
    <t xml:space="preserve"> 19 - 19</t>
  </si>
  <si>
    <t xml:space="preserve"> 19 - 20</t>
  </si>
  <si>
    <t xml:space="preserve"> 19 - 21</t>
  </si>
  <si>
    <t xml:space="preserve"> 19 - 22</t>
  </si>
  <si>
    <t xml:space="preserve"> 19 - 23</t>
  </si>
  <si>
    <t xml:space="preserve"> 20 - 16</t>
  </si>
  <si>
    <t xml:space="preserve"> 20 - 17</t>
  </si>
  <si>
    <t xml:space="preserve"> 20 - 18</t>
  </si>
  <si>
    <t xml:space="preserve"> 20 - 19</t>
  </si>
  <si>
    <t xml:space="preserve"> 20 - 20</t>
  </si>
  <si>
    <t xml:space="preserve"> 20 - 21</t>
  </si>
  <si>
    <t xml:space="preserve"> 20 - 22</t>
  </si>
  <si>
    <t xml:space="preserve"> 20 - 23</t>
  </si>
  <si>
    <t xml:space="preserve"> 21 - 16</t>
  </si>
  <si>
    <t xml:space="preserve"> 21 - 17</t>
  </si>
  <si>
    <t xml:space="preserve"> 21 - 18</t>
  </si>
  <si>
    <t xml:space="preserve"> 21 - 19</t>
  </si>
  <si>
    <t xml:space="preserve"> 21 - 20</t>
  </si>
  <si>
    <t xml:space="preserve"> 21 - 21</t>
  </si>
  <si>
    <t xml:space="preserve"> 21 - 22</t>
  </si>
  <si>
    <t xml:space="preserve"> 21 - 23</t>
  </si>
  <si>
    <t xml:space="preserve"> 22 - 16</t>
  </si>
  <si>
    <t xml:space="preserve"> 22 - 17</t>
  </si>
  <si>
    <t xml:space="preserve"> 22 - 18</t>
  </si>
  <si>
    <t xml:space="preserve"> 22 - 19</t>
  </si>
  <si>
    <t xml:space="preserve"> 22 - 20</t>
  </si>
  <si>
    <t xml:space="preserve"> 22 - 21</t>
  </si>
  <si>
    <t xml:space="preserve"> 22 - 22</t>
  </si>
  <si>
    <t xml:space="preserve"> 22 - 23</t>
  </si>
  <si>
    <t xml:space="preserve"> 23 - 16</t>
  </si>
  <si>
    <t xml:space="preserve"> 23 - 17</t>
  </si>
  <si>
    <t xml:space="preserve"> 23 - 18</t>
  </si>
  <si>
    <t xml:space="preserve"> 23 - 19</t>
  </si>
  <si>
    <t xml:space="preserve"> 23 - 20</t>
  </si>
  <si>
    <t xml:space="preserve"> 23 - 21</t>
  </si>
  <si>
    <t xml:space="preserve"> 23 - 22</t>
  </si>
  <si>
    <t xml:space="preserve"> 23 - 23</t>
  </si>
  <si>
    <t xml:space="preserve"> 24 - 16</t>
  </si>
  <si>
    <t xml:space="preserve"> 24 - 17</t>
  </si>
  <si>
    <t xml:space="preserve"> 24 - 18</t>
  </si>
  <si>
    <t xml:space="preserve"> 24 - 19</t>
  </si>
  <si>
    <t xml:space="preserve"> 24 - 20</t>
  </si>
  <si>
    <t xml:space="preserve"> 24 - 21</t>
  </si>
  <si>
    <t xml:space="preserve"> 24 - 22</t>
  </si>
  <si>
    <t xml:space="preserve"> 24 - 23</t>
  </si>
  <si>
    <t xml:space="preserve"> 25 - 16</t>
  </si>
  <si>
    <t xml:space="preserve"> 25 - 17</t>
  </si>
  <si>
    <t xml:space="preserve"> 25 - 18</t>
  </si>
  <si>
    <t xml:space="preserve"> 25 - 19</t>
  </si>
  <si>
    <t xml:space="preserve"> 25 - 20</t>
  </si>
  <si>
    <t xml:space="preserve"> 25 - 21</t>
  </si>
  <si>
    <t xml:space="preserve"> 25 - 22</t>
  </si>
  <si>
    <t xml:space="preserve"> 25 - 23</t>
  </si>
  <si>
    <t xml:space="preserve"> 26 - 16</t>
  </si>
  <si>
    <t xml:space="preserve"> 26 - 17</t>
  </si>
  <si>
    <t xml:space="preserve"> 26 - 18</t>
  </si>
  <si>
    <t xml:space="preserve"> 26 - 19</t>
  </si>
  <si>
    <t xml:space="preserve"> 26 - 20</t>
  </si>
  <si>
    <t xml:space="preserve"> 26 - 21</t>
  </si>
  <si>
    <t xml:space="preserve"> 26 - 22</t>
  </si>
  <si>
    <t xml:space="preserve"> 26 - 23</t>
  </si>
  <si>
    <t>Average Maximum Surface Air Temperature (tasmax)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</si>
  <si>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</si>
  <si>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</si>
  <si>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</si>
  <si>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</si>
  <si>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</si>
  <si>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</si>
  <si>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</si>
  <si>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</si>
  <si>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</si>
  <si>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Aruba (Neth.)</t>
  </si>
  <si>
    <t>AIA</t>
  </si>
  <si>
    <t>Anguilla (U.K.)</t>
  </si>
  <si>
    <t>ALA</t>
  </si>
  <si>
    <t>American Samoa (U.S.)</t>
  </si>
  <si>
    <t>ATF</t>
  </si>
  <si>
    <t>French Southern and Antarctic Lands (Fr.)</t>
  </si>
  <si>
    <t>BES</t>
  </si>
  <si>
    <t>Bonaire, Sint Eustatius and Saba</t>
  </si>
  <si>
    <t>The Bahamas</t>
  </si>
  <si>
    <t>BLM</t>
  </si>
  <si>
    <t>Saint-Barthélemy (Fr.)</t>
  </si>
  <si>
    <t>Bermuda (U.K.)</t>
  </si>
  <si>
    <t>BVT</t>
  </si>
  <si>
    <t>Bouvet Island (Nor.)</t>
  </si>
  <si>
    <t>CCK</t>
  </si>
  <si>
    <t>Cocos (Keeling) Islands (Aus.)</t>
  </si>
  <si>
    <t>Côte d'Ivoire</t>
  </si>
  <si>
    <t>Democratic Republic of Congo</t>
  </si>
  <si>
    <t>Congo</t>
  </si>
  <si>
    <t>COK</t>
  </si>
  <si>
    <t>Cook Islands (N.Z.)</t>
  </si>
  <si>
    <t>Curaçao (Neth.)</t>
  </si>
  <si>
    <t>CXR</t>
  </si>
  <si>
    <t>Christmas Island (Aus.)</t>
  </si>
  <si>
    <t>Cayman Islands (U.K.)</t>
  </si>
  <si>
    <t>Czech Republic</t>
  </si>
  <si>
    <t>Arab Republic of Egypt</t>
  </si>
  <si>
    <t>Faroe Islands (Den.)</t>
  </si>
  <si>
    <t>Federated States of Micronesia</t>
  </si>
  <si>
    <t>GGY</t>
  </si>
  <si>
    <t>Guernsey (U.K.)</t>
  </si>
  <si>
    <t>Gibraltar (U.K.)</t>
  </si>
  <si>
    <t>GLP</t>
  </si>
  <si>
    <t>The Gambia</t>
  </si>
  <si>
    <t>Greenland (Den.)</t>
  </si>
  <si>
    <t>GUF</t>
  </si>
  <si>
    <t>Guam (U.S.)</t>
  </si>
  <si>
    <t>HMD</t>
  </si>
  <si>
    <t>Heard Island and McDonald Islands (Aus.)</t>
  </si>
  <si>
    <t>Isle of Man (U.K.)</t>
  </si>
  <si>
    <t>IOT</t>
  </si>
  <si>
    <t>British Indian Ocean Territory (U.K.)</t>
  </si>
  <si>
    <t>Islamic Republic of Iran</t>
  </si>
  <si>
    <t>JEY</t>
  </si>
  <si>
    <t>Jersey (U.K.)</t>
  </si>
  <si>
    <t>Saint Kitts and Nevis</t>
  </si>
  <si>
    <t>Republic of Korea</t>
  </si>
  <si>
    <t>KSV</t>
  </si>
  <si>
    <t>Lao People's Democratic Republic</t>
  </si>
  <si>
    <t>Saint Lucia</t>
  </si>
  <si>
    <t>Saint-Martin (Fr.)</t>
  </si>
  <si>
    <t>Northern Mariana Islands (U.S.)</t>
  </si>
  <si>
    <t>MSR</t>
  </si>
  <si>
    <t>Montserrat (U.K.)</t>
  </si>
  <si>
    <t>MTQ</t>
  </si>
  <si>
    <t>MYT</t>
  </si>
  <si>
    <t>New Caledonia (Fr.)</t>
  </si>
  <si>
    <t>NFK</t>
  </si>
  <si>
    <t>Norfolk Island (Aus.)</t>
  </si>
  <si>
    <t>NIU</t>
  </si>
  <si>
    <t>Niue (N.Z.)</t>
  </si>
  <si>
    <t>PCN</t>
  </si>
  <si>
    <t>Pitcairn Islands (U.K.)</t>
  </si>
  <si>
    <t>Puerto Rico (U.S.)</t>
  </si>
  <si>
    <t>D. P. R. of Korea</t>
  </si>
  <si>
    <t>French Polynesia (Fr.)</t>
  </si>
  <si>
    <t>REU</t>
  </si>
  <si>
    <t>SHN</t>
  </si>
  <si>
    <t>Saint Helena, Ascension and Tristan da Cunha (U.K.)</t>
  </si>
  <si>
    <t>SJM</t>
  </si>
  <si>
    <t>Svalbard and Jan Mayen (Nor.)</t>
  </si>
  <si>
    <t>Somalia</t>
  </si>
  <si>
    <t>SPM</t>
  </si>
  <si>
    <t>Saint-Pierre-et-Miquelon (Fr.)</t>
  </si>
  <si>
    <t>São Tomé and Príncipe</t>
  </si>
  <si>
    <t>Sint Maarten (Neth.)</t>
  </si>
  <si>
    <t>Turks and Caicos Islands (U.K.)</t>
  </si>
  <si>
    <t>TKL</t>
  </si>
  <si>
    <t>Tokelau (N.Z.)</t>
  </si>
  <si>
    <t>Türkiye</t>
  </si>
  <si>
    <t>TWN</t>
  </si>
  <si>
    <t>UMI</t>
  </si>
  <si>
    <t>U.S. Minor Outlying Islands</t>
  </si>
  <si>
    <t>United States of America</t>
  </si>
  <si>
    <t>VAT</t>
  </si>
  <si>
    <t>Vatican City</t>
  </si>
  <si>
    <t>Saint Vincent and the Grenadines</t>
  </si>
  <si>
    <t>R. B. de Venezuela</t>
  </si>
  <si>
    <t>British Virgin Islands (U.K.)</t>
  </si>
  <si>
    <t>United States Virgin Islands (U.S.)</t>
  </si>
  <si>
    <t>Vietnam</t>
  </si>
  <si>
    <t>WLF</t>
  </si>
  <si>
    <t>Wallis and Futuna (Fr.)</t>
  </si>
  <si>
    <t>Republic of Yemen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</si>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</sst>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0"/>
      <color rgb="FF0A2B35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8">
    <xf numFmtId="0" fontId="0" fillId="0" borderId="0" xfId="0"/>
    <xf numFmtId="0" fontId="0" fillId="0" borderId="0" xfId="0" applyBorder="1"/>
    <xf numFmtId="49" fontId="0" fillId="0" borderId="0" xfId="0" applyNumberFormat="1" applyBorder="1"/>
    <xf numFmtId="49" fontId="0" fillId="0" borderId="0" xfId="0" applyNumberFormat="1"/>
    <xf numFmtId="0" fontId="0" fillId="0" borderId="0" xfId="0" applyFill="1" applyBorder="1"/>
    <xf numFmtId="0" fontId="3" fillId="0" borderId="0" xfId="3"/>
    <xf numFmtId="0" fontId="4" fillId="0" borderId="0" xfId="3" applyFont="1" applyAlignment="1"/>
    <xf numFmtId="0" fontId="5" fillId="0" borderId="0" xfId="1" applyFont="1" applyAlignment="1">
      <alignment horizontal="left" vertical="center"/>
    </xf>
  </cellXfs>
  <cellStyles count="4">
    <cellStyle name="Normal" xfId="0" builtinId="0"/>
    <cellStyle name="Normal 2" xfId="2" xr:uid="{00000000-0005-0000-0000-000031000000}"/>
    <cellStyle name="Normal 3" xfId="3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zoomScale="85" zoomScaleNormal="85" workbookViewId="0">
      <selection activeCell="B2" sqref="B2"/>
    </sheetView>
  </sheetViews>
  <sheetFormatPr defaultRowHeight="15" x14ac:dyDescent="0.25"/>
  <cols>
    <col min="1" max="1" width="7.7109375" bestFit="1" customWidth="1"/>
    <col min="2" max="2" width="6.140625" bestFit="1" customWidth="1"/>
    <col min="3" max="3" width="7.7109375" bestFit="1" customWidth="1"/>
    <col min="4" max="4" width="7.140625" bestFit="1" customWidth="1"/>
    <col min="5" max="5" width="7.7109375" bestFit="1" customWidth="1"/>
    <col min="6" max="6" width="6.140625" bestFit="1" customWidth="1"/>
    <col min="7" max="7" width="7.7109375" bestFit="1" customWidth="1"/>
    <col min="8" max="8" width="6.140625" bestFit="1" customWidth="1"/>
    <col min="9" max="9" width="7.7109375" bestFit="1" customWidth="1"/>
    <col min="10" max="10" width="6.140625" bestFit="1" customWidth="1"/>
    <col min="11" max="11" width="7.7109375" bestFit="1" customWidth="1"/>
    <col min="12" max="12" width="6.140625" bestFit="1" customWidth="1"/>
    <col min="13" max="13" width="7.7109375" bestFit="1" customWidth="1"/>
    <col min="14" max="14" width="6.140625" bestFit="1" customWidth="1"/>
    <col min="15" max="15" width="7.7109375" bestFit="1" customWidth="1"/>
    <col min="16" max="16" width="6.140625" bestFit="1" customWidth="1"/>
    <col min="19" max="19" width="7.7109375" bestFit="1" customWidth="1"/>
  </cols>
  <sheetData>
    <row r="1" spans="1:27" x14ac:dyDescent="0.25">
      <c r="A1" t="s">
        <v>0</v>
      </c>
      <c r="B1">
        <v>2016</v>
      </c>
      <c r="C1" t="s">
        <v>0</v>
      </c>
      <c r="D1">
        <v>2017</v>
      </c>
      <c r="E1" t="s">
        <v>0</v>
      </c>
      <c r="F1">
        <v>2018</v>
      </c>
      <c r="G1" t="s">
        <v>0</v>
      </c>
      <c r="H1">
        <v>2019</v>
      </c>
      <c r="I1" t="s">
        <v>0</v>
      </c>
      <c r="J1">
        <v>2020</v>
      </c>
      <c r="K1" t="s">
        <v>0</v>
      </c>
      <c r="L1">
        <v>2021</v>
      </c>
      <c r="M1" t="s">
        <v>0</v>
      </c>
      <c r="N1">
        <v>2022</v>
      </c>
      <c r="O1" t="s">
        <v>0</v>
      </c>
      <c r="P1">
        <v>2023</v>
      </c>
      <c r="S1" t="s">
        <v>0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</row>
    <row r="2" spans="1:27" x14ac:dyDescent="0.25">
      <c r="A2" t="s">
        <v>1</v>
      </c>
      <c r="B2">
        <v>11.71</v>
      </c>
      <c r="C2" t="s">
        <v>29</v>
      </c>
      <c r="D2">
        <v>11.34</v>
      </c>
      <c r="E2" t="s">
        <v>35</v>
      </c>
      <c r="F2">
        <v>11.01</v>
      </c>
      <c r="G2" t="s">
        <v>2</v>
      </c>
      <c r="H2">
        <v>11.13</v>
      </c>
      <c r="I2" t="s">
        <v>4</v>
      </c>
      <c r="J2">
        <v>10.33</v>
      </c>
      <c r="K2" t="s">
        <v>1</v>
      </c>
      <c r="L2">
        <v>10.24</v>
      </c>
      <c r="M2" t="s">
        <v>38</v>
      </c>
      <c r="N2">
        <v>10.119999999999999</v>
      </c>
      <c r="O2" t="s">
        <v>29</v>
      </c>
      <c r="P2">
        <v>10.45</v>
      </c>
      <c r="S2" t="s">
        <v>29</v>
      </c>
      <c r="T2">
        <f>VLOOKUP($S2,A:B,2,FALSE)</f>
        <v>8.7200000000000006</v>
      </c>
      <c r="U2">
        <f>VLOOKUP($S2,C:D,2,FALSE)</f>
        <v>11.34</v>
      </c>
      <c r="V2">
        <f>VLOOKUP($S2,E:F,2,FALSE)</f>
        <v>12.21</v>
      </c>
      <c r="W2">
        <f>VLOOKUP($S2,G:H,2,FALSE)</f>
        <v>19.649999999999999</v>
      </c>
      <c r="X2">
        <f>VLOOKUP($S2,I:J,2,FALSE)</f>
        <v>17.28</v>
      </c>
      <c r="Y2">
        <f>VLOOKUP($S2,K:L,2,FALSE)</f>
        <v>13.21</v>
      </c>
      <c r="Z2">
        <f>VLOOKUP($S2,M:N,2,FALSE)</f>
        <v>10.67</v>
      </c>
      <c r="AA2">
        <f>VLOOKUP($S2,O:P,2,FALSE)</f>
        <v>10.45</v>
      </c>
    </row>
    <row r="3" spans="1:27" x14ac:dyDescent="0.25">
      <c r="A3" t="s">
        <v>2</v>
      </c>
      <c r="B3">
        <v>12.17</v>
      </c>
      <c r="C3" t="s">
        <v>2</v>
      </c>
      <c r="D3">
        <v>11.8</v>
      </c>
      <c r="E3" t="s">
        <v>2</v>
      </c>
      <c r="F3">
        <v>11.51</v>
      </c>
      <c r="G3" t="s">
        <v>35</v>
      </c>
      <c r="H3">
        <v>11.35</v>
      </c>
      <c r="I3" t="s">
        <v>3</v>
      </c>
      <c r="J3">
        <v>10.54</v>
      </c>
      <c r="K3" t="s">
        <v>4</v>
      </c>
      <c r="L3">
        <v>10.32</v>
      </c>
      <c r="M3" t="s">
        <v>48</v>
      </c>
      <c r="N3">
        <v>10.41</v>
      </c>
      <c r="O3" t="s">
        <v>42</v>
      </c>
      <c r="P3">
        <v>11.17</v>
      </c>
      <c r="S3" t="s">
        <v>42</v>
      </c>
      <c r="T3" t="e">
        <f t="shared" ref="T3:T49" si="0">VLOOKUP($S3,A:B,2,FALSE)</f>
        <v>#N/A</v>
      </c>
      <c r="U3" t="e">
        <f t="shared" ref="U3:U49" si="1">VLOOKUP($S3,C:D,2,FALSE)</f>
        <v>#N/A</v>
      </c>
      <c r="V3" t="e">
        <f t="shared" ref="V3:V49" si="2">VLOOKUP($S3,E:F,2,FALSE)</f>
        <v>#N/A</v>
      </c>
      <c r="W3" t="e">
        <f t="shared" ref="W3:W49" si="3">VLOOKUP($S3,G:H,2,FALSE)</f>
        <v>#N/A</v>
      </c>
      <c r="X3">
        <f t="shared" ref="X3:X49" si="4">VLOOKUP($S3,I:J,2,FALSE)</f>
        <v>9.23</v>
      </c>
      <c r="Y3">
        <f t="shared" ref="Y3:Y49" si="5">VLOOKUP($S3,K:L,2,FALSE)</f>
        <v>8.82</v>
      </c>
      <c r="Z3">
        <f t="shared" ref="Z3:Z49" si="6">VLOOKUP($S3,M:N,2,FALSE)</f>
        <v>10.42</v>
      </c>
      <c r="AA3">
        <f t="shared" ref="AA3:AA49" si="7">VLOOKUP($S3,O:P,2,FALSE)</f>
        <v>11.17</v>
      </c>
    </row>
    <row r="4" spans="1:27" x14ac:dyDescent="0.25">
      <c r="A4" t="s">
        <v>3</v>
      </c>
      <c r="B4">
        <v>12.81</v>
      </c>
      <c r="C4" t="s">
        <v>1</v>
      </c>
      <c r="D4">
        <v>11.82</v>
      </c>
      <c r="E4" t="s">
        <v>3</v>
      </c>
      <c r="F4">
        <v>11.76</v>
      </c>
      <c r="G4" t="s">
        <v>30</v>
      </c>
      <c r="H4">
        <v>11.85</v>
      </c>
      <c r="I4" t="s">
        <v>1</v>
      </c>
      <c r="J4">
        <v>10.64</v>
      </c>
      <c r="K4" t="s">
        <v>3</v>
      </c>
      <c r="L4">
        <v>10.54</v>
      </c>
      <c r="M4" t="s">
        <v>42</v>
      </c>
      <c r="N4">
        <v>10.42</v>
      </c>
      <c r="O4" t="s">
        <v>44</v>
      </c>
      <c r="P4">
        <v>11.26</v>
      </c>
      <c r="S4" t="s">
        <v>44</v>
      </c>
      <c r="T4" t="e">
        <f t="shared" si="0"/>
        <v>#N/A</v>
      </c>
      <c r="U4" t="e">
        <f t="shared" si="1"/>
        <v>#N/A</v>
      </c>
      <c r="V4" t="e">
        <f t="shared" si="2"/>
        <v>#N/A</v>
      </c>
      <c r="W4" t="e">
        <f t="shared" si="3"/>
        <v>#N/A</v>
      </c>
      <c r="X4" t="e">
        <f t="shared" si="4"/>
        <v>#N/A</v>
      </c>
      <c r="Y4">
        <f t="shared" si="5"/>
        <v>18.739999999999998</v>
      </c>
      <c r="Z4" t="e">
        <f t="shared" si="6"/>
        <v>#N/A</v>
      </c>
      <c r="AA4">
        <f t="shared" si="7"/>
        <v>11.26</v>
      </c>
    </row>
    <row r="5" spans="1:27" x14ac:dyDescent="0.25">
      <c r="A5" t="s">
        <v>4</v>
      </c>
      <c r="B5">
        <v>13.1</v>
      </c>
      <c r="C5" t="s">
        <v>31</v>
      </c>
      <c r="D5">
        <v>118.93</v>
      </c>
      <c r="E5" t="s">
        <v>1</v>
      </c>
      <c r="F5">
        <v>11.94</v>
      </c>
      <c r="G5" t="s">
        <v>1</v>
      </c>
      <c r="H5">
        <v>11.96</v>
      </c>
      <c r="I5" t="s">
        <v>8</v>
      </c>
      <c r="J5">
        <v>11.3</v>
      </c>
      <c r="K5" t="s">
        <v>8</v>
      </c>
      <c r="L5">
        <v>10.79</v>
      </c>
      <c r="M5" t="s">
        <v>29</v>
      </c>
      <c r="N5">
        <v>10.67</v>
      </c>
      <c r="O5" t="s">
        <v>37</v>
      </c>
      <c r="P5">
        <v>11.74</v>
      </c>
      <c r="S5" t="s">
        <v>37</v>
      </c>
      <c r="T5" t="e">
        <f t="shared" si="0"/>
        <v>#N/A</v>
      </c>
      <c r="U5" t="e">
        <f t="shared" si="1"/>
        <v>#N/A</v>
      </c>
      <c r="V5" t="e">
        <f t="shared" si="2"/>
        <v>#N/A</v>
      </c>
      <c r="W5">
        <f t="shared" si="3"/>
        <v>12.05</v>
      </c>
      <c r="X5">
        <f t="shared" si="4"/>
        <v>9.24</v>
      </c>
      <c r="Y5">
        <f t="shared" si="5"/>
        <v>9.27</v>
      </c>
      <c r="Z5">
        <f t="shared" si="6"/>
        <v>10.89</v>
      </c>
      <c r="AA5">
        <f t="shared" si="7"/>
        <v>11.74</v>
      </c>
    </row>
    <row r="6" spans="1:27" x14ac:dyDescent="0.25">
      <c r="A6" t="s">
        <v>5</v>
      </c>
      <c r="B6">
        <v>13.64</v>
      </c>
      <c r="C6" t="s">
        <v>3</v>
      </c>
      <c r="D6">
        <v>12.26</v>
      </c>
      <c r="E6" t="s">
        <v>29</v>
      </c>
      <c r="F6">
        <v>12.21</v>
      </c>
      <c r="G6" t="s">
        <v>37</v>
      </c>
      <c r="H6">
        <v>12.05</v>
      </c>
      <c r="I6" t="s">
        <v>6</v>
      </c>
      <c r="J6">
        <v>11.85</v>
      </c>
      <c r="K6" t="s">
        <v>5</v>
      </c>
      <c r="L6">
        <v>11.86</v>
      </c>
      <c r="M6" t="s">
        <v>37</v>
      </c>
      <c r="N6">
        <v>10.89</v>
      </c>
      <c r="O6" t="s">
        <v>3</v>
      </c>
      <c r="P6">
        <v>11.93</v>
      </c>
      <c r="S6" t="s">
        <v>3</v>
      </c>
      <c r="T6">
        <f t="shared" si="0"/>
        <v>12.81</v>
      </c>
      <c r="U6">
        <f t="shared" si="1"/>
        <v>12.26</v>
      </c>
      <c r="V6">
        <f t="shared" si="2"/>
        <v>11.76</v>
      </c>
      <c r="W6">
        <f t="shared" si="3"/>
        <v>12.06</v>
      </c>
      <c r="X6">
        <f t="shared" si="4"/>
        <v>10.54</v>
      </c>
      <c r="Y6">
        <f t="shared" si="5"/>
        <v>10.54</v>
      </c>
      <c r="Z6">
        <f t="shared" si="6"/>
        <v>11.77</v>
      </c>
      <c r="AA6">
        <f t="shared" si="7"/>
        <v>11.93</v>
      </c>
    </row>
    <row r="7" spans="1:27" x14ac:dyDescent="0.25">
      <c r="A7" t="s">
        <v>6</v>
      </c>
      <c r="B7">
        <v>14.96</v>
      </c>
      <c r="C7" t="s">
        <v>30</v>
      </c>
      <c r="D7">
        <v>12.39</v>
      </c>
      <c r="E7" t="s">
        <v>30</v>
      </c>
      <c r="F7">
        <v>12.72</v>
      </c>
      <c r="G7" t="s">
        <v>3</v>
      </c>
      <c r="H7">
        <v>12.06</v>
      </c>
      <c r="I7" t="s">
        <v>5</v>
      </c>
      <c r="J7">
        <v>12.12</v>
      </c>
      <c r="K7" t="s">
        <v>6</v>
      </c>
      <c r="L7">
        <v>12.58</v>
      </c>
      <c r="M7" t="s">
        <v>3</v>
      </c>
      <c r="N7">
        <v>11.77</v>
      </c>
      <c r="O7" t="s">
        <v>8</v>
      </c>
      <c r="P7">
        <v>12.43</v>
      </c>
      <c r="S7" t="s">
        <v>8</v>
      </c>
      <c r="T7">
        <f t="shared" si="0"/>
        <v>16.420000000000002</v>
      </c>
      <c r="U7">
        <f t="shared" si="1"/>
        <v>14.93</v>
      </c>
      <c r="V7">
        <f t="shared" si="2"/>
        <v>14.61</v>
      </c>
      <c r="W7">
        <f t="shared" si="3"/>
        <v>13.95</v>
      </c>
      <c r="X7">
        <f t="shared" si="4"/>
        <v>11.3</v>
      </c>
      <c r="Y7">
        <f t="shared" si="5"/>
        <v>10.79</v>
      </c>
      <c r="Z7">
        <f t="shared" si="6"/>
        <v>11.97</v>
      </c>
      <c r="AA7">
        <f t="shared" si="7"/>
        <v>12.43</v>
      </c>
    </row>
    <row r="8" spans="1:27" x14ac:dyDescent="0.25">
      <c r="A8" t="s">
        <v>7</v>
      </c>
      <c r="B8">
        <v>15.55</v>
      </c>
      <c r="C8" t="s">
        <v>4</v>
      </c>
      <c r="D8">
        <v>13.24</v>
      </c>
      <c r="E8" t="s">
        <v>4</v>
      </c>
      <c r="F8">
        <v>13.28</v>
      </c>
      <c r="G8" t="s">
        <v>38</v>
      </c>
      <c r="H8">
        <v>12.37</v>
      </c>
      <c r="I8" t="s">
        <v>39</v>
      </c>
      <c r="J8">
        <v>13.91</v>
      </c>
      <c r="K8" t="s">
        <v>29</v>
      </c>
      <c r="L8">
        <v>13.21</v>
      </c>
      <c r="M8" t="s">
        <v>8</v>
      </c>
      <c r="N8">
        <v>11.97</v>
      </c>
      <c r="O8" t="s">
        <v>1</v>
      </c>
      <c r="P8">
        <v>12.85</v>
      </c>
      <c r="S8" t="s">
        <v>1</v>
      </c>
      <c r="T8">
        <f t="shared" si="0"/>
        <v>11.71</v>
      </c>
      <c r="U8">
        <f t="shared" si="1"/>
        <v>11.82</v>
      </c>
      <c r="V8">
        <f t="shared" si="2"/>
        <v>11.94</v>
      </c>
      <c r="W8">
        <f t="shared" si="3"/>
        <v>11.96</v>
      </c>
      <c r="X8">
        <f t="shared" si="4"/>
        <v>10.64</v>
      </c>
      <c r="Y8">
        <f t="shared" si="5"/>
        <v>10.24</v>
      </c>
      <c r="Z8">
        <f t="shared" si="6"/>
        <v>12.41</v>
      </c>
      <c r="AA8">
        <f t="shared" si="7"/>
        <v>12.85</v>
      </c>
    </row>
    <row r="9" spans="1:27" x14ac:dyDescent="0.25">
      <c r="A9" t="s">
        <v>8</v>
      </c>
      <c r="B9">
        <v>16.420000000000002</v>
      </c>
      <c r="C9" t="s">
        <v>5</v>
      </c>
      <c r="D9">
        <v>14.21</v>
      </c>
      <c r="E9" t="s">
        <v>5</v>
      </c>
      <c r="F9">
        <v>14.03</v>
      </c>
      <c r="G9" t="s">
        <v>4</v>
      </c>
      <c r="H9">
        <v>13.15</v>
      </c>
      <c r="I9" t="s">
        <v>16</v>
      </c>
      <c r="J9">
        <v>14.15</v>
      </c>
      <c r="K9" t="s">
        <v>43</v>
      </c>
      <c r="L9">
        <v>13.65</v>
      </c>
      <c r="M9" t="s">
        <v>1</v>
      </c>
      <c r="N9">
        <v>12.41</v>
      </c>
      <c r="O9" t="s">
        <v>51</v>
      </c>
      <c r="P9">
        <v>13.48</v>
      </c>
      <c r="S9" t="s">
        <v>51</v>
      </c>
      <c r="T9" t="e">
        <f t="shared" si="0"/>
        <v>#N/A</v>
      </c>
      <c r="U9" t="e">
        <f t="shared" si="1"/>
        <v>#N/A</v>
      </c>
      <c r="V9" t="e">
        <f t="shared" si="2"/>
        <v>#N/A</v>
      </c>
      <c r="W9" t="e">
        <f t="shared" si="3"/>
        <v>#N/A</v>
      </c>
      <c r="X9" t="e">
        <f t="shared" si="4"/>
        <v>#N/A</v>
      </c>
      <c r="Y9" t="e">
        <f t="shared" si="5"/>
        <v>#N/A</v>
      </c>
      <c r="Z9" t="e">
        <f t="shared" si="6"/>
        <v>#N/A</v>
      </c>
      <c r="AA9">
        <f t="shared" si="7"/>
        <v>13.48</v>
      </c>
    </row>
    <row r="10" spans="1:27" x14ac:dyDescent="0.25">
      <c r="A10" t="s">
        <v>9</v>
      </c>
      <c r="B10">
        <v>16.73</v>
      </c>
      <c r="C10" t="s">
        <v>8</v>
      </c>
      <c r="D10">
        <v>14.93</v>
      </c>
      <c r="E10" t="s">
        <v>8</v>
      </c>
      <c r="F10">
        <v>14.61</v>
      </c>
      <c r="G10" t="s">
        <v>8</v>
      </c>
      <c r="H10">
        <v>13.95</v>
      </c>
      <c r="I10" t="s">
        <v>9</v>
      </c>
      <c r="J10">
        <v>14.16</v>
      </c>
      <c r="K10" t="s">
        <v>9</v>
      </c>
      <c r="L10">
        <v>13.71</v>
      </c>
      <c r="M10" t="s">
        <v>4</v>
      </c>
      <c r="N10">
        <v>12.59</v>
      </c>
      <c r="O10" t="s">
        <v>4</v>
      </c>
      <c r="P10">
        <v>13.62</v>
      </c>
      <c r="S10" t="s">
        <v>4</v>
      </c>
      <c r="T10">
        <f t="shared" si="0"/>
        <v>13.1</v>
      </c>
      <c r="U10">
        <f t="shared" si="1"/>
        <v>13.24</v>
      </c>
      <c r="V10">
        <f t="shared" si="2"/>
        <v>13.28</v>
      </c>
      <c r="W10">
        <f t="shared" si="3"/>
        <v>13.15</v>
      </c>
      <c r="X10">
        <f t="shared" si="4"/>
        <v>10.33</v>
      </c>
      <c r="Y10">
        <f t="shared" si="5"/>
        <v>10.32</v>
      </c>
      <c r="Z10">
        <f t="shared" si="6"/>
        <v>12.59</v>
      </c>
      <c r="AA10">
        <f t="shared" si="7"/>
        <v>13.62</v>
      </c>
    </row>
    <row r="11" spans="1:27" x14ac:dyDescent="0.25">
      <c r="A11" t="s">
        <v>10</v>
      </c>
      <c r="B11">
        <v>17.079999999999998</v>
      </c>
      <c r="C11" t="s">
        <v>6</v>
      </c>
      <c r="D11">
        <v>15.13</v>
      </c>
      <c r="E11" t="s">
        <v>7</v>
      </c>
      <c r="F11">
        <v>15.21</v>
      </c>
      <c r="G11" t="s">
        <v>5</v>
      </c>
      <c r="H11">
        <v>14.12</v>
      </c>
      <c r="I11" t="s">
        <v>10</v>
      </c>
      <c r="J11">
        <v>14.32</v>
      </c>
      <c r="K11" t="s">
        <v>39</v>
      </c>
      <c r="L11">
        <v>14.06</v>
      </c>
      <c r="M11" t="s">
        <v>43</v>
      </c>
      <c r="N11">
        <v>14.11</v>
      </c>
      <c r="O11" t="s">
        <v>30</v>
      </c>
      <c r="P11">
        <v>13.88</v>
      </c>
      <c r="S11" t="s">
        <v>30</v>
      </c>
      <c r="T11">
        <f t="shared" si="0"/>
        <v>9.66</v>
      </c>
      <c r="U11">
        <f t="shared" si="1"/>
        <v>12.39</v>
      </c>
      <c r="V11">
        <f t="shared" si="2"/>
        <v>12.72</v>
      </c>
      <c r="W11">
        <f t="shared" si="3"/>
        <v>11.85</v>
      </c>
      <c r="X11">
        <f t="shared" si="4"/>
        <v>18.27</v>
      </c>
      <c r="Y11">
        <f t="shared" si="5"/>
        <v>14.47</v>
      </c>
      <c r="Z11">
        <f t="shared" si="6"/>
        <v>9.65</v>
      </c>
      <c r="AA11">
        <f t="shared" si="7"/>
        <v>13.88</v>
      </c>
    </row>
    <row r="12" spans="1:27" x14ac:dyDescent="0.25">
      <c r="A12" t="s">
        <v>11</v>
      </c>
      <c r="B12">
        <v>17.13</v>
      </c>
      <c r="C12" t="s">
        <v>7</v>
      </c>
      <c r="D12">
        <v>16.260000000000002</v>
      </c>
      <c r="E12" t="s">
        <v>6</v>
      </c>
      <c r="F12">
        <v>15.42</v>
      </c>
      <c r="G12" t="s">
        <v>6</v>
      </c>
      <c r="H12">
        <v>15.04</v>
      </c>
      <c r="I12" t="s">
        <v>12</v>
      </c>
      <c r="J12">
        <v>14.9</v>
      </c>
      <c r="K12" t="s">
        <v>10</v>
      </c>
      <c r="L12">
        <v>14.44</v>
      </c>
      <c r="M12" t="s">
        <v>49</v>
      </c>
      <c r="N12">
        <v>14.79</v>
      </c>
      <c r="O12" t="s">
        <v>49</v>
      </c>
      <c r="P12">
        <v>14.4</v>
      </c>
      <c r="S12" t="s">
        <v>49</v>
      </c>
      <c r="T12" t="e">
        <f t="shared" si="0"/>
        <v>#N/A</v>
      </c>
      <c r="U12" t="e">
        <f t="shared" si="1"/>
        <v>#N/A</v>
      </c>
      <c r="V12" t="e">
        <f t="shared" si="2"/>
        <v>#N/A</v>
      </c>
      <c r="W12" t="e">
        <f t="shared" si="3"/>
        <v>#N/A</v>
      </c>
      <c r="X12" t="e">
        <f t="shared" si="4"/>
        <v>#N/A</v>
      </c>
      <c r="Y12" t="e">
        <f t="shared" si="5"/>
        <v>#N/A</v>
      </c>
      <c r="Z12">
        <f t="shared" si="6"/>
        <v>14.79</v>
      </c>
      <c r="AA12">
        <f t="shared" si="7"/>
        <v>14.4</v>
      </c>
    </row>
    <row r="13" spans="1:27" x14ac:dyDescent="0.25">
      <c r="A13" t="s">
        <v>12</v>
      </c>
      <c r="B13">
        <v>18.87</v>
      </c>
      <c r="C13" t="s">
        <v>10</v>
      </c>
      <c r="D13">
        <v>16.309999999999999</v>
      </c>
      <c r="E13" t="s">
        <v>10</v>
      </c>
      <c r="F13">
        <v>15.63</v>
      </c>
      <c r="G13" t="s">
        <v>10</v>
      </c>
      <c r="H13">
        <v>15.38</v>
      </c>
      <c r="I13" t="s">
        <v>32</v>
      </c>
      <c r="J13">
        <v>16.100000000000001</v>
      </c>
      <c r="K13" t="s">
        <v>30</v>
      </c>
      <c r="L13">
        <v>14.47</v>
      </c>
      <c r="M13" t="s">
        <v>6</v>
      </c>
      <c r="N13">
        <v>14.97</v>
      </c>
      <c r="O13" t="s">
        <v>6</v>
      </c>
      <c r="P13">
        <v>14.67</v>
      </c>
      <c r="S13" t="s">
        <v>6</v>
      </c>
      <c r="T13">
        <f t="shared" si="0"/>
        <v>14.96</v>
      </c>
      <c r="U13">
        <f t="shared" si="1"/>
        <v>15.13</v>
      </c>
      <c r="V13">
        <f t="shared" si="2"/>
        <v>15.42</v>
      </c>
      <c r="W13">
        <f t="shared" si="3"/>
        <v>15.04</v>
      </c>
      <c r="X13">
        <f t="shared" si="4"/>
        <v>11.85</v>
      </c>
      <c r="Y13">
        <f t="shared" si="5"/>
        <v>12.58</v>
      </c>
      <c r="Z13">
        <f t="shared" si="6"/>
        <v>14.97</v>
      </c>
      <c r="AA13">
        <f t="shared" si="7"/>
        <v>14.67</v>
      </c>
    </row>
    <row r="14" spans="1:27" x14ac:dyDescent="0.25">
      <c r="A14" t="s">
        <v>13</v>
      </c>
      <c r="B14">
        <v>19.68</v>
      </c>
      <c r="C14" t="s">
        <v>15</v>
      </c>
      <c r="D14">
        <v>16.38</v>
      </c>
      <c r="E14" t="s">
        <v>9</v>
      </c>
      <c r="F14">
        <v>16.38</v>
      </c>
      <c r="G14" t="s">
        <v>7</v>
      </c>
      <c r="H14">
        <v>15.74</v>
      </c>
      <c r="I14" t="s">
        <v>21</v>
      </c>
      <c r="J14">
        <v>16.829999999999998</v>
      </c>
      <c r="K14" t="s">
        <v>12</v>
      </c>
      <c r="L14">
        <v>15.09</v>
      </c>
      <c r="M14" t="s">
        <v>5</v>
      </c>
      <c r="N14">
        <v>15.02</v>
      </c>
      <c r="O14" t="s">
        <v>5</v>
      </c>
      <c r="P14">
        <v>15.05</v>
      </c>
      <c r="S14" t="s">
        <v>5</v>
      </c>
      <c r="T14">
        <f t="shared" si="0"/>
        <v>13.64</v>
      </c>
      <c r="U14">
        <f t="shared" si="1"/>
        <v>14.21</v>
      </c>
      <c r="V14">
        <f t="shared" si="2"/>
        <v>14.03</v>
      </c>
      <c r="W14">
        <f t="shared" si="3"/>
        <v>14.12</v>
      </c>
      <c r="X14">
        <f t="shared" si="4"/>
        <v>12.12</v>
      </c>
      <c r="Y14">
        <f t="shared" si="5"/>
        <v>11.86</v>
      </c>
      <c r="Z14">
        <f t="shared" si="6"/>
        <v>15.02</v>
      </c>
      <c r="AA14">
        <f t="shared" si="7"/>
        <v>15.05</v>
      </c>
    </row>
    <row r="15" spans="1:27" x14ac:dyDescent="0.25">
      <c r="A15" t="s">
        <v>14</v>
      </c>
      <c r="B15">
        <v>20.96</v>
      </c>
      <c r="C15" t="s">
        <v>9</v>
      </c>
      <c r="D15">
        <v>16.86</v>
      </c>
      <c r="E15" t="s">
        <v>12</v>
      </c>
      <c r="F15">
        <v>19.05</v>
      </c>
      <c r="G15" t="s">
        <v>9</v>
      </c>
      <c r="H15">
        <v>16.12</v>
      </c>
      <c r="I15" t="s">
        <v>33</v>
      </c>
      <c r="J15">
        <v>16.850000000000001</v>
      </c>
      <c r="K15" t="s">
        <v>32</v>
      </c>
      <c r="L15">
        <v>16.2</v>
      </c>
      <c r="M15" t="s">
        <v>10</v>
      </c>
      <c r="N15">
        <v>15.13</v>
      </c>
      <c r="O15" t="s">
        <v>10</v>
      </c>
      <c r="P15">
        <v>16.14</v>
      </c>
      <c r="S15" t="s">
        <v>10</v>
      </c>
      <c r="T15">
        <f t="shared" si="0"/>
        <v>17.079999999999998</v>
      </c>
      <c r="U15">
        <f t="shared" si="1"/>
        <v>16.309999999999999</v>
      </c>
      <c r="V15">
        <f t="shared" si="2"/>
        <v>15.63</v>
      </c>
      <c r="W15">
        <f t="shared" si="3"/>
        <v>15.38</v>
      </c>
      <c r="X15">
        <f t="shared" si="4"/>
        <v>14.32</v>
      </c>
      <c r="Y15">
        <f t="shared" si="5"/>
        <v>14.44</v>
      </c>
      <c r="Z15">
        <f t="shared" si="6"/>
        <v>15.13</v>
      </c>
      <c r="AA15">
        <f t="shared" si="7"/>
        <v>16.14</v>
      </c>
    </row>
    <row r="16" spans="1:27" x14ac:dyDescent="0.25">
      <c r="A16" t="s">
        <v>15</v>
      </c>
      <c r="B16">
        <v>21.02</v>
      </c>
      <c r="C16" t="s">
        <v>12</v>
      </c>
      <c r="D16">
        <v>18.25</v>
      </c>
      <c r="E16" t="s">
        <v>11</v>
      </c>
      <c r="F16">
        <v>19.09</v>
      </c>
      <c r="G16" t="s">
        <v>33</v>
      </c>
      <c r="H16">
        <v>16.28</v>
      </c>
      <c r="I16" t="s">
        <v>29</v>
      </c>
      <c r="J16">
        <v>17.28</v>
      </c>
      <c r="K16" t="s">
        <v>7</v>
      </c>
      <c r="L16">
        <v>16.7</v>
      </c>
      <c r="M16" t="s">
        <v>7</v>
      </c>
      <c r="N16">
        <v>15.44</v>
      </c>
      <c r="O16" t="s">
        <v>7</v>
      </c>
      <c r="P16">
        <v>16.170000000000002</v>
      </c>
      <c r="S16" t="s">
        <v>7</v>
      </c>
      <c r="T16">
        <f t="shared" si="0"/>
        <v>15.55</v>
      </c>
      <c r="U16">
        <f t="shared" si="1"/>
        <v>16.260000000000002</v>
      </c>
      <c r="V16">
        <f t="shared" si="2"/>
        <v>15.21</v>
      </c>
      <c r="W16">
        <f t="shared" si="3"/>
        <v>15.74</v>
      </c>
      <c r="X16">
        <f t="shared" si="4"/>
        <v>19.93</v>
      </c>
      <c r="Y16">
        <f t="shared" si="5"/>
        <v>16.7</v>
      </c>
      <c r="Z16">
        <f t="shared" si="6"/>
        <v>15.44</v>
      </c>
      <c r="AA16">
        <f t="shared" si="7"/>
        <v>16.170000000000002</v>
      </c>
    </row>
    <row r="17" spans="1:27" x14ac:dyDescent="0.25">
      <c r="A17" t="s">
        <v>16</v>
      </c>
      <c r="B17">
        <v>21.93</v>
      </c>
      <c r="C17" t="s">
        <v>13</v>
      </c>
      <c r="D17">
        <v>19.829999999999998</v>
      </c>
      <c r="E17" t="s">
        <v>15</v>
      </c>
      <c r="F17">
        <v>19.399999999999999</v>
      </c>
      <c r="G17" t="s">
        <v>39</v>
      </c>
      <c r="H17">
        <v>17.38</v>
      </c>
      <c r="I17" t="s">
        <v>13</v>
      </c>
      <c r="J17">
        <v>17.29</v>
      </c>
      <c r="K17" t="s">
        <v>14</v>
      </c>
      <c r="L17">
        <v>16.84</v>
      </c>
      <c r="M17" t="s">
        <v>15</v>
      </c>
      <c r="N17">
        <v>16.73</v>
      </c>
      <c r="O17" t="s">
        <v>43</v>
      </c>
      <c r="P17">
        <v>17.32</v>
      </c>
      <c r="S17" t="s">
        <v>43</v>
      </c>
      <c r="T17" t="e">
        <f t="shared" si="0"/>
        <v>#N/A</v>
      </c>
      <c r="U17" t="e">
        <f t="shared" si="1"/>
        <v>#N/A</v>
      </c>
      <c r="V17" t="e">
        <f t="shared" si="2"/>
        <v>#N/A</v>
      </c>
      <c r="W17" t="e">
        <f t="shared" si="3"/>
        <v>#N/A</v>
      </c>
      <c r="X17" t="e">
        <f t="shared" si="4"/>
        <v>#N/A</v>
      </c>
      <c r="Y17">
        <f t="shared" si="5"/>
        <v>13.65</v>
      </c>
      <c r="Z17">
        <f t="shared" si="6"/>
        <v>14.11</v>
      </c>
      <c r="AA17">
        <f t="shared" si="7"/>
        <v>17.32</v>
      </c>
    </row>
    <row r="18" spans="1:27" x14ac:dyDescent="0.25">
      <c r="A18" t="s">
        <v>17</v>
      </c>
      <c r="B18">
        <v>21.93</v>
      </c>
      <c r="C18" t="s">
        <v>32</v>
      </c>
      <c r="D18">
        <v>20.05</v>
      </c>
      <c r="E18" t="s">
        <v>32</v>
      </c>
      <c r="F18">
        <v>19.73</v>
      </c>
      <c r="G18" t="s">
        <v>16</v>
      </c>
      <c r="H18">
        <v>18.09</v>
      </c>
      <c r="I18" t="s">
        <v>14</v>
      </c>
      <c r="J18">
        <v>17.809999999999999</v>
      </c>
      <c r="K18" t="s">
        <v>16</v>
      </c>
      <c r="L18">
        <v>17.43</v>
      </c>
      <c r="M18" t="s">
        <v>11</v>
      </c>
      <c r="N18">
        <v>16.77</v>
      </c>
      <c r="O18" t="s">
        <v>32</v>
      </c>
      <c r="P18">
        <v>18.059999999999999</v>
      </c>
      <c r="S18" t="s">
        <v>32</v>
      </c>
      <c r="T18" t="e">
        <f t="shared" si="0"/>
        <v>#N/A</v>
      </c>
      <c r="U18">
        <f t="shared" si="1"/>
        <v>20.05</v>
      </c>
      <c r="V18">
        <f t="shared" si="2"/>
        <v>19.73</v>
      </c>
      <c r="W18">
        <f t="shared" si="3"/>
        <v>18.63</v>
      </c>
      <c r="X18">
        <f t="shared" si="4"/>
        <v>16.100000000000001</v>
      </c>
      <c r="Y18">
        <f t="shared" si="5"/>
        <v>16.2</v>
      </c>
      <c r="Z18">
        <f t="shared" si="6"/>
        <v>18.02</v>
      </c>
      <c r="AA18">
        <f t="shared" si="7"/>
        <v>18.059999999999999</v>
      </c>
    </row>
    <row r="19" spans="1:27" x14ac:dyDescent="0.25">
      <c r="A19" t="s">
        <v>18</v>
      </c>
      <c r="B19">
        <v>22</v>
      </c>
      <c r="C19" t="s">
        <v>11</v>
      </c>
      <c r="D19">
        <v>20.12</v>
      </c>
      <c r="E19" t="s">
        <v>20</v>
      </c>
      <c r="F19">
        <v>19.77</v>
      </c>
      <c r="G19" t="s">
        <v>32</v>
      </c>
      <c r="H19">
        <v>18.63</v>
      </c>
      <c r="I19" t="s">
        <v>30</v>
      </c>
      <c r="J19">
        <v>18.27</v>
      </c>
      <c r="K19" t="s">
        <v>21</v>
      </c>
      <c r="L19">
        <v>17.62</v>
      </c>
      <c r="M19" t="s">
        <v>39</v>
      </c>
      <c r="N19">
        <v>17.309999999999999</v>
      </c>
      <c r="O19" t="s">
        <v>50</v>
      </c>
      <c r="P19">
        <v>18.440000000000001</v>
      </c>
      <c r="S19" t="s">
        <v>50</v>
      </c>
      <c r="T19" t="e">
        <f t="shared" si="0"/>
        <v>#N/A</v>
      </c>
      <c r="U19" t="e">
        <f t="shared" si="1"/>
        <v>#N/A</v>
      </c>
      <c r="V19" t="e">
        <f t="shared" si="2"/>
        <v>#N/A</v>
      </c>
      <c r="W19" t="e">
        <f t="shared" si="3"/>
        <v>#N/A</v>
      </c>
      <c r="X19" t="e">
        <f t="shared" si="4"/>
        <v>#N/A</v>
      </c>
      <c r="Y19" t="e">
        <f t="shared" si="5"/>
        <v>#N/A</v>
      </c>
      <c r="Z19">
        <f t="shared" si="6"/>
        <v>30.03</v>
      </c>
      <c r="AA19">
        <f t="shared" si="7"/>
        <v>18.440000000000001</v>
      </c>
    </row>
    <row r="20" spans="1:27" x14ac:dyDescent="0.25">
      <c r="A20" t="s">
        <v>19</v>
      </c>
      <c r="B20">
        <v>22.37</v>
      </c>
      <c r="C20" t="s">
        <v>17</v>
      </c>
      <c r="D20">
        <v>20.86</v>
      </c>
      <c r="E20" t="s">
        <v>13</v>
      </c>
      <c r="F20">
        <v>20.350000000000001</v>
      </c>
      <c r="G20" t="s">
        <v>12</v>
      </c>
      <c r="H20">
        <v>19.22</v>
      </c>
      <c r="I20" t="s">
        <v>17</v>
      </c>
      <c r="J20">
        <v>18.55</v>
      </c>
      <c r="K20" t="s">
        <v>17</v>
      </c>
      <c r="L20">
        <v>17.739999999999998</v>
      </c>
      <c r="M20" t="s">
        <v>32</v>
      </c>
      <c r="N20">
        <v>18.02</v>
      </c>
      <c r="O20" t="s">
        <v>15</v>
      </c>
      <c r="P20">
        <v>18.670000000000002</v>
      </c>
      <c r="S20" t="s">
        <v>15</v>
      </c>
      <c r="T20">
        <f t="shared" si="0"/>
        <v>21.02</v>
      </c>
      <c r="U20">
        <f t="shared" si="1"/>
        <v>16.38</v>
      </c>
      <c r="V20">
        <f t="shared" si="2"/>
        <v>19.399999999999999</v>
      </c>
      <c r="W20">
        <f t="shared" si="3"/>
        <v>23.19</v>
      </c>
      <c r="X20">
        <f t="shared" si="4"/>
        <v>30.31</v>
      </c>
      <c r="Y20">
        <f t="shared" si="5"/>
        <v>20.02</v>
      </c>
      <c r="Z20">
        <f t="shared" si="6"/>
        <v>16.73</v>
      </c>
      <c r="AA20">
        <f t="shared" si="7"/>
        <v>18.670000000000002</v>
      </c>
    </row>
    <row r="21" spans="1:27" x14ac:dyDescent="0.25">
      <c r="A21" t="s">
        <v>20</v>
      </c>
      <c r="B21">
        <v>23.81</v>
      </c>
      <c r="C21" t="s">
        <v>20</v>
      </c>
      <c r="D21">
        <v>20.97</v>
      </c>
      <c r="E21" t="s">
        <v>14</v>
      </c>
      <c r="F21">
        <v>21.4</v>
      </c>
      <c r="G21" t="s">
        <v>29</v>
      </c>
      <c r="H21">
        <v>19.649999999999999</v>
      </c>
      <c r="I21" t="s">
        <v>18</v>
      </c>
      <c r="J21">
        <v>18.91</v>
      </c>
      <c r="K21" t="s">
        <v>13</v>
      </c>
      <c r="L21">
        <v>18.34</v>
      </c>
      <c r="M21" t="s">
        <v>36</v>
      </c>
      <c r="N21">
        <v>18.38</v>
      </c>
      <c r="O21" t="s">
        <v>39</v>
      </c>
      <c r="P21">
        <v>18.91</v>
      </c>
      <c r="S21" t="s">
        <v>39</v>
      </c>
      <c r="T21" t="e">
        <f t="shared" si="0"/>
        <v>#N/A</v>
      </c>
      <c r="U21" t="e">
        <f t="shared" si="1"/>
        <v>#N/A</v>
      </c>
      <c r="V21" t="e">
        <f t="shared" si="2"/>
        <v>#N/A</v>
      </c>
      <c r="W21">
        <f t="shared" si="3"/>
        <v>17.38</v>
      </c>
      <c r="X21">
        <f t="shared" si="4"/>
        <v>13.91</v>
      </c>
      <c r="Y21">
        <f t="shared" si="5"/>
        <v>14.06</v>
      </c>
      <c r="Z21">
        <f t="shared" si="6"/>
        <v>17.309999999999999</v>
      </c>
      <c r="AA21">
        <f t="shared" si="7"/>
        <v>18.91</v>
      </c>
    </row>
    <row r="22" spans="1:27" x14ac:dyDescent="0.25">
      <c r="A22" t="s">
        <v>21</v>
      </c>
      <c r="B22">
        <v>24.31</v>
      </c>
      <c r="C22" t="s">
        <v>14</v>
      </c>
      <c r="D22">
        <v>22.56</v>
      </c>
      <c r="E22" t="s">
        <v>36</v>
      </c>
      <c r="F22">
        <v>22.27</v>
      </c>
      <c r="G22" t="s">
        <v>36</v>
      </c>
      <c r="H22">
        <v>19.809999999999999</v>
      </c>
      <c r="I22" t="s">
        <v>7</v>
      </c>
      <c r="J22">
        <v>19.93</v>
      </c>
      <c r="K22" t="s">
        <v>44</v>
      </c>
      <c r="L22">
        <v>18.739999999999998</v>
      </c>
      <c r="M22" t="s">
        <v>9</v>
      </c>
      <c r="N22">
        <v>18.600000000000001</v>
      </c>
      <c r="O22" t="s">
        <v>9</v>
      </c>
      <c r="P22">
        <v>18.920000000000002</v>
      </c>
      <c r="S22" t="s">
        <v>9</v>
      </c>
      <c r="T22">
        <f t="shared" si="0"/>
        <v>16.73</v>
      </c>
      <c r="U22">
        <f t="shared" si="1"/>
        <v>16.86</v>
      </c>
      <c r="V22">
        <f t="shared" si="2"/>
        <v>16.38</v>
      </c>
      <c r="W22">
        <f t="shared" si="3"/>
        <v>16.12</v>
      </c>
      <c r="X22">
        <f t="shared" si="4"/>
        <v>14.16</v>
      </c>
      <c r="Y22">
        <f t="shared" si="5"/>
        <v>13.71</v>
      </c>
      <c r="Z22">
        <f t="shared" si="6"/>
        <v>18.600000000000001</v>
      </c>
      <c r="AA22">
        <f t="shared" si="7"/>
        <v>18.920000000000002</v>
      </c>
    </row>
    <row r="23" spans="1:27" x14ac:dyDescent="0.25">
      <c r="A23" t="s">
        <v>22</v>
      </c>
      <c r="B23">
        <v>25.2</v>
      </c>
      <c r="C23" t="s">
        <v>21</v>
      </c>
      <c r="D23">
        <v>22.89</v>
      </c>
      <c r="E23" t="s">
        <v>17</v>
      </c>
      <c r="F23">
        <v>22.33</v>
      </c>
      <c r="G23" t="s">
        <v>13</v>
      </c>
      <c r="H23">
        <v>20.55</v>
      </c>
      <c r="I23" t="s">
        <v>24</v>
      </c>
      <c r="J23">
        <v>20.27</v>
      </c>
      <c r="K23" t="s">
        <v>33</v>
      </c>
      <c r="L23">
        <v>19.45</v>
      </c>
      <c r="M23" t="s">
        <v>12</v>
      </c>
      <c r="N23">
        <v>18.86</v>
      </c>
      <c r="O23" t="s">
        <v>12</v>
      </c>
      <c r="P23">
        <v>19.75</v>
      </c>
      <c r="S23" t="s">
        <v>12</v>
      </c>
      <c r="T23">
        <f t="shared" si="0"/>
        <v>18.87</v>
      </c>
      <c r="U23">
        <f t="shared" si="1"/>
        <v>18.25</v>
      </c>
      <c r="V23">
        <f t="shared" si="2"/>
        <v>19.05</v>
      </c>
      <c r="W23">
        <f t="shared" si="3"/>
        <v>19.22</v>
      </c>
      <c r="X23">
        <f t="shared" si="4"/>
        <v>14.9</v>
      </c>
      <c r="Y23">
        <f t="shared" si="5"/>
        <v>15.09</v>
      </c>
      <c r="Z23">
        <f t="shared" si="6"/>
        <v>18.86</v>
      </c>
      <c r="AA23">
        <f t="shared" si="7"/>
        <v>19.75</v>
      </c>
    </row>
    <row r="24" spans="1:27" x14ac:dyDescent="0.25">
      <c r="A24" t="s">
        <v>23</v>
      </c>
      <c r="B24">
        <v>26.26</v>
      </c>
      <c r="C24" t="s">
        <v>23</v>
      </c>
      <c r="D24">
        <v>22.95</v>
      </c>
      <c r="E24" t="s">
        <v>21</v>
      </c>
      <c r="F24">
        <v>22.41</v>
      </c>
      <c r="G24" t="s">
        <v>21</v>
      </c>
      <c r="H24">
        <v>21.51</v>
      </c>
      <c r="I24" t="s">
        <v>23</v>
      </c>
      <c r="J24">
        <v>20.53</v>
      </c>
      <c r="K24" t="s">
        <v>45</v>
      </c>
      <c r="L24">
        <v>19.64</v>
      </c>
      <c r="M24" t="s">
        <v>19</v>
      </c>
      <c r="N24">
        <v>19.88</v>
      </c>
      <c r="O24" t="s">
        <v>11</v>
      </c>
      <c r="P24">
        <v>20.420000000000002</v>
      </c>
      <c r="S24" t="s">
        <v>11</v>
      </c>
      <c r="T24">
        <f t="shared" si="0"/>
        <v>17.13</v>
      </c>
      <c r="U24">
        <f t="shared" si="1"/>
        <v>20.12</v>
      </c>
      <c r="V24">
        <f t="shared" si="2"/>
        <v>19.09</v>
      </c>
      <c r="W24">
        <f t="shared" si="3"/>
        <v>22.64</v>
      </c>
      <c r="X24">
        <f t="shared" si="4"/>
        <v>25.93</v>
      </c>
      <c r="Y24">
        <f t="shared" si="5"/>
        <v>19.7</v>
      </c>
      <c r="Z24">
        <f t="shared" si="6"/>
        <v>16.77</v>
      </c>
      <c r="AA24">
        <f t="shared" si="7"/>
        <v>20.420000000000002</v>
      </c>
    </row>
    <row r="25" spans="1:27" x14ac:dyDescent="0.25">
      <c r="A25" t="s">
        <v>24</v>
      </c>
      <c r="B25">
        <v>27.74</v>
      </c>
      <c r="C25" t="s">
        <v>19</v>
      </c>
      <c r="D25">
        <v>25.06</v>
      </c>
      <c r="E25" t="s">
        <v>16</v>
      </c>
      <c r="F25">
        <v>23.17</v>
      </c>
      <c r="G25" t="s">
        <v>14</v>
      </c>
      <c r="H25">
        <v>22.03</v>
      </c>
      <c r="I25" t="s">
        <v>36</v>
      </c>
      <c r="J25">
        <v>22.3</v>
      </c>
      <c r="K25" t="s">
        <v>23</v>
      </c>
      <c r="L25">
        <v>19.670000000000002</v>
      </c>
      <c r="M25" t="s">
        <v>13</v>
      </c>
      <c r="N25">
        <v>20.420000000000002</v>
      </c>
      <c r="O25" t="s">
        <v>21</v>
      </c>
      <c r="P25">
        <v>20.93</v>
      </c>
      <c r="S25" t="s">
        <v>21</v>
      </c>
      <c r="T25">
        <f t="shared" si="0"/>
        <v>24.31</v>
      </c>
      <c r="U25">
        <f t="shared" si="1"/>
        <v>22.89</v>
      </c>
      <c r="V25">
        <f t="shared" si="2"/>
        <v>22.41</v>
      </c>
      <c r="W25">
        <f t="shared" si="3"/>
        <v>21.51</v>
      </c>
      <c r="X25">
        <f t="shared" si="4"/>
        <v>16.829999999999998</v>
      </c>
      <c r="Y25">
        <f t="shared" si="5"/>
        <v>17.62</v>
      </c>
      <c r="Z25">
        <f t="shared" si="6"/>
        <v>20.68</v>
      </c>
      <c r="AA25">
        <f t="shared" si="7"/>
        <v>20.93</v>
      </c>
    </row>
    <row r="26" spans="1:27" x14ac:dyDescent="0.25">
      <c r="A26" t="s">
        <v>25</v>
      </c>
      <c r="B26">
        <v>28.82</v>
      </c>
      <c r="C26" t="s">
        <v>22</v>
      </c>
      <c r="D26">
        <v>25.37</v>
      </c>
      <c r="E26" t="s">
        <v>23</v>
      </c>
      <c r="F26">
        <v>23.57</v>
      </c>
      <c r="G26" t="s">
        <v>11</v>
      </c>
      <c r="H26">
        <v>22.64</v>
      </c>
      <c r="I26" t="s">
        <v>20</v>
      </c>
      <c r="J26">
        <v>24.9</v>
      </c>
      <c r="K26" t="s">
        <v>11</v>
      </c>
      <c r="L26">
        <v>19.7</v>
      </c>
      <c r="M26" t="s">
        <v>21</v>
      </c>
      <c r="N26">
        <v>20.68</v>
      </c>
      <c r="O26" t="s">
        <v>13</v>
      </c>
      <c r="P26">
        <v>21.48</v>
      </c>
      <c r="S26" t="s">
        <v>13</v>
      </c>
      <c r="T26">
        <f t="shared" si="0"/>
        <v>19.68</v>
      </c>
      <c r="U26">
        <f t="shared" si="1"/>
        <v>19.829999999999998</v>
      </c>
      <c r="V26">
        <f t="shared" si="2"/>
        <v>20.350000000000001</v>
      </c>
      <c r="W26">
        <f t="shared" si="3"/>
        <v>20.55</v>
      </c>
      <c r="X26">
        <f t="shared" si="4"/>
        <v>17.29</v>
      </c>
      <c r="Y26">
        <f t="shared" si="5"/>
        <v>18.34</v>
      </c>
      <c r="Z26">
        <f t="shared" si="6"/>
        <v>20.420000000000002</v>
      </c>
      <c r="AA26">
        <f t="shared" si="7"/>
        <v>21.48</v>
      </c>
    </row>
    <row r="27" spans="1:27" x14ac:dyDescent="0.25">
      <c r="A27" t="s">
        <v>26</v>
      </c>
      <c r="B27">
        <v>28.93</v>
      </c>
      <c r="C27" t="s">
        <v>18</v>
      </c>
      <c r="D27">
        <v>25.61</v>
      </c>
      <c r="E27" t="s">
        <v>18</v>
      </c>
      <c r="F27">
        <v>24.7</v>
      </c>
      <c r="G27" t="s">
        <v>17</v>
      </c>
      <c r="H27">
        <v>22.68</v>
      </c>
      <c r="I27" t="s">
        <v>11</v>
      </c>
      <c r="J27">
        <v>25.93</v>
      </c>
      <c r="K27" t="s">
        <v>15</v>
      </c>
      <c r="L27">
        <v>20.02</v>
      </c>
      <c r="M27" t="s">
        <v>33</v>
      </c>
      <c r="N27">
        <v>20.97</v>
      </c>
      <c r="O27" t="s">
        <v>16</v>
      </c>
      <c r="P27">
        <v>22.48</v>
      </c>
      <c r="S27" t="s">
        <v>16</v>
      </c>
      <c r="T27">
        <f t="shared" si="0"/>
        <v>21.93</v>
      </c>
      <c r="U27">
        <f t="shared" si="1"/>
        <v>27.37</v>
      </c>
      <c r="V27">
        <f t="shared" si="2"/>
        <v>23.17</v>
      </c>
      <c r="W27">
        <f t="shared" si="3"/>
        <v>18.09</v>
      </c>
      <c r="X27">
        <f t="shared" si="4"/>
        <v>14.15</v>
      </c>
      <c r="Y27">
        <f t="shared" si="5"/>
        <v>17.43</v>
      </c>
      <c r="Z27">
        <f t="shared" si="6"/>
        <v>21.82</v>
      </c>
      <c r="AA27">
        <f t="shared" si="7"/>
        <v>22.48</v>
      </c>
    </row>
    <row r="28" spans="1:27" x14ac:dyDescent="0.25">
      <c r="A28" t="s">
        <v>27</v>
      </c>
      <c r="B28">
        <v>40.51</v>
      </c>
      <c r="C28" t="s">
        <v>24</v>
      </c>
      <c r="D28">
        <v>27.11</v>
      </c>
      <c r="E28" t="s">
        <v>33</v>
      </c>
      <c r="F28">
        <v>25.23</v>
      </c>
      <c r="G28" t="s">
        <v>15</v>
      </c>
      <c r="H28">
        <v>23.19</v>
      </c>
      <c r="I28" t="s">
        <v>22</v>
      </c>
      <c r="J28">
        <v>26.14</v>
      </c>
      <c r="K28" t="s">
        <v>46</v>
      </c>
      <c r="L28">
        <v>20.190000000000001</v>
      </c>
      <c r="M28" t="s">
        <v>45</v>
      </c>
      <c r="N28">
        <v>21.65</v>
      </c>
      <c r="O28" t="s">
        <v>36</v>
      </c>
      <c r="P28">
        <v>22.68</v>
      </c>
      <c r="S28" t="s">
        <v>36</v>
      </c>
      <c r="T28" t="e">
        <f t="shared" si="0"/>
        <v>#N/A</v>
      </c>
      <c r="U28" t="e">
        <f t="shared" si="1"/>
        <v>#N/A</v>
      </c>
      <c r="V28">
        <f t="shared" si="2"/>
        <v>22.27</v>
      </c>
      <c r="W28">
        <f t="shared" si="3"/>
        <v>19.809999999999999</v>
      </c>
      <c r="X28">
        <f t="shared" si="4"/>
        <v>22.3</v>
      </c>
      <c r="Y28">
        <f t="shared" si="5"/>
        <v>26.12</v>
      </c>
      <c r="Z28">
        <f t="shared" si="6"/>
        <v>18.38</v>
      </c>
      <c r="AA28">
        <f t="shared" si="7"/>
        <v>22.68</v>
      </c>
    </row>
    <row r="29" spans="1:27" x14ac:dyDescent="0.25">
      <c r="A29" t="s">
        <v>28</v>
      </c>
      <c r="B29">
        <v>6.77</v>
      </c>
      <c r="C29" t="s">
        <v>26</v>
      </c>
      <c r="D29">
        <v>27.21</v>
      </c>
      <c r="E29" t="s">
        <v>22</v>
      </c>
      <c r="F29">
        <v>25.79</v>
      </c>
      <c r="G29" t="s">
        <v>23</v>
      </c>
      <c r="H29">
        <v>23.99</v>
      </c>
      <c r="I29" t="s">
        <v>31</v>
      </c>
      <c r="J29">
        <v>26.54</v>
      </c>
      <c r="K29" t="s">
        <v>24</v>
      </c>
      <c r="L29">
        <v>20.58</v>
      </c>
      <c r="M29" t="s">
        <v>16</v>
      </c>
      <c r="N29">
        <v>21.82</v>
      </c>
      <c r="O29" t="s">
        <v>17</v>
      </c>
      <c r="P29">
        <v>22.77</v>
      </c>
      <c r="S29" t="s">
        <v>17</v>
      </c>
      <c r="T29">
        <f t="shared" si="0"/>
        <v>21.93</v>
      </c>
      <c r="U29">
        <f t="shared" si="1"/>
        <v>20.86</v>
      </c>
      <c r="V29">
        <f t="shared" si="2"/>
        <v>22.33</v>
      </c>
      <c r="W29">
        <f t="shared" si="3"/>
        <v>22.68</v>
      </c>
      <c r="X29">
        <f t="shared" si="4"/>
        <v>18.55</v>
      </c>
      <c r="Y29">
        <f t="shared" si="5"/>
        <v>17.739999999999998</v>
      </c>
      <c r="Z29">
        <f t="shared" si="6"/>
        <v>22.94</v>
      </c>
      <c r="AA29">
        <f t="shared" si="7"/>
        <v>22.77</v>
      </c>
    </row>
    <row r="30" spans="1:27" x14ac:dyDescent="0.25">
      <c r="A30" t="s">
        <v>29</v>
      </c>
      <c r="B30">
        <v>8.7200000000000006</v>
      </c>
      <c r="C30" t="s">
        <v>16</v>
      </c>
      <c r="D30">
        <v>27.37</v>
      </c>
      <c r="E30" t="s">
        <v>24</v>
      </c>
      <c r="F30">
        <v>26.66</v>
      </c>
      <c r="G30" t="s">
        <v>18</v>
      </c>
      <c r="H30">
        <v>24.05</v>
      </c>
      <c r="I30" t="s">
        <v>34</v>
      </c>
      <c r="J30">
        <v>27.96</v>
      </c>
      <c r="K30" t="s">
        <v>18</v>
      </c>
      <c r="L30">
        <v>20.73</v>
      </c>
      <c r="M30" t="s">
        <v>17</v>
      </c>
      <c r="N30">
        <v>22.94</v>
      </c>
      <c r="O30" t="s">
        <v>18</v>
      </c>
      <c r="P30">
        <v>23.97</v>
      </c>
      <c r="S30" t="s">
        <v>18</v>
      </c>
      <c r="T30">
        <f t="shared" si="0"/>
        <v>22</v>
      </c>
      <c r="U30">
        <f t="shared" si="1"/>
        <v>25.61</v>
      </c>
      <c r="V30">
        <f t="shared" si="2"/>
        <v>24.7</v>
      </c>
      <c r="W30">
        <f t="shared" si="3"/>
        <v>24.05</v>
      </c>
      <c r="X30">
        <f t="shared" si="4"/>
        <v>18.91</v>
      </c>
      <c r="Y30">
        <f t="shared" si="5"/>
        <v>20.73</v>
      </c>
      <c r="Z30">
        <f t="shared" si="6"/>
        <v>23.77</v>
      </c>
      <c r="AA30">
        <f t="shared" si="7"/>
        <v>23.97</v>
      </c>
    </row>
    <row r="31" spans="1:27" x14ac:dyDescent="0.25">
      <c r="A31" t="s">
        <v>30</v>
      </c>
      <c r="B31">
        <v>9.66</v>
      </c>
      <c r="C31" t="s">
        <v>25</v>
      </c>
      <c r="D31">
        <v>29.31</v>
      </c>
      <c r="E31" t="s">
        <v>26</v>
      </c>
      <c r="F31">
        <v>27.11</v>
      </c>
      <c r="G31" t="s">
        <v>20</v>
      </c>
      <c r="H31">
        <v>24.32</v>
      </c>
      <c r="I31" t="s">
        <v>26</v>
      </c>
      <c r="J31">
        <v>28.13</v>
      </c>
      <c r="K31" t="s">
        <v>19</v>
      </c>
      <c r="L31">
        <v>24.85</v>
      </c>
      <c r="M31" t="s">
        <v>18</v>
      </c>
      <c r="N31">
        <v>23.77</v>
      </c>
      <c r="O31" t="s">
        <v>52</v>
      </c>
      <c r="P31">
        <v>24.07</v>
      </c>
      <c r="S31" t="s">
        <v>52</v>
      </c>
      <c r="T31" t="e">
        <f t="shared" si="0"/>
        <v>#N/A</v>
      </c>
      <c r="U31" t="e">
        <f t="shared" si="1"/>
        <v>#N/A</v>
      </c>
      <c r="V31" t="e">
        <f t="shared" si="2"/>
        <v>#N/A</v>
      </c>
      <c r="W31" t="e">
        <f t="shared" si="3"/>
        <v>#N/A</v>
      </c>
      <c r="X31" t="e">
        <f t="shared" si="4"/>
        <v>#N/A</v>
      </c>
      <c r="Y31" t="e">
        <f t="shared" si="5"/>
        <v>#N/A</v>
      </c>
      <c r="Z31" t="e">
        <f t="shared" si="6"/>
        <v>#N/A</v>
      </c>
      <c r="AA31">
        <f t="shared" si="7"/>
        <v>24.07</v>
      </c>
    </row>
    <row r="32" spans="1:27" x14ac:dyDescent="0.25">
      <c r="C32" t="s">
        <v>33</v>
      </c>
      <c r="D32">
        <v>29.93</v>
      </c>
      <c r="E32" t="s">
        <v>25</v>
      </c>
      <c r="F32">
        <v>28.04</v>
      </c>
      <c r="G32" t="s">
        <v>24</v>
      </c>
      <c r="H32">
        <v>25.46</v>
      </c>
      <c r="I32" t="s">
        <v>40</v>
      </c>
      <c r="J32">
        <v>28.66</v>
      </c>
      <c r="K32" t="s">
        <v>25</v>
      </c>
      <c r="L32">
        <v>25.59</v>
      </c>
      <c r="M32" t="s">
        <v>24</v>
      </c>
      <c r="N32">
        <v>23.95</v>
      </c>
      <c r="O32" t="s">
        <v>19</v>
      </c>
      <c r="P32">
        <v>24.27</v>
      </c>
      <c r="S32" t="s">
        <v>19</v>
      </c>
      <c r="T32">
        <f t="shared" si="0"/>
        <v>22.37</v>
      </c>
      <c r="U32">
        <f t="shared" si="1"/>
        <v>25.06</v>
      </c>
      <c r="V32" t="e">
        <f t="shared" si="2"/>
        <v>#N/A</v>
      </c>
      <c r="W32" t="e">
        <f t="shared" si="3"/>
        <v>#N/A</v>
      </c>
      <c r="X32" t="e">
        <f t="shared" si="4"/>
        <v>#N/A</v>
      </c>
      <c r="Y32">
        <f t="shared" si="5"/>
        <v>24.85</v>
      </c>
      <c r="Z32">
        <f t="shared" si="6"/>
        <v>19.88</v>
      </c>
      <c r="AA32">
        <f t="shared" si="7"/>
        <v>24.27</v>
      </c>
    </row>
    <row r="33" spans="3:27" x14ac:dyDescent="0.25">
      <c r="C33" t="s">
        <v>34</v>
      </c>
      <c r="D33">
        <v>43.38</v>
      </c>
      <c r="E33" t="s">
        <v>34</v>
      </c>
      <c r="F33">
        <v>36.270000000000003</v>
      </c>
      <c r="G33" t="s">
        <v>22</v>
      </c>
      <c r="H33">
        <v>26.81</v>
      </c>
      <c r="I33" t="s">
        <v>25</v>
      </c>
      <c r="J33">
        <v>29.42</v>
      </c>
      <c r="K33" t="s">
        <v>36</v>
      </c>
      <c r="L33">
        <v>26.12</v>
      </c>
      <c r="M33" t="s">
        <v>23</v>
      </c>
      <c r="N33">
        <v>24.03</v>
      </c>
      <c r="O33" t="s">
        <v>14</v>
      </c>
      <c r="P33">
        <v>24.85</v>
      </c>
      <c r="S33" t="s">
        <v>14</v>
      </c>
      <c r="T33">
        <f t="shared" si="0"/>
        <v>20.96</v>
      </c>
      <c r="U33">
        <f t="shared" si="1"/>
        <v>22.56</v>
      </c>
      <c r="V33">
        <f t="shared" si="2"/>
        <v>21.4</v>
      </c>
      <c r="W33">
        <f t="shared" si="3"/>
        <v>22.03</v>
      </c>
      <c r="X33">
        <f t="shared" si="4"/>
        <v>17.809999999999999</v>
      </c>
      <c r="Y33">
        <f t="shared" si="5"/>
        <v>16.84</v>
      </c>
      <c r="Z33">
        <f t="shared" si="6"/>
        <v>25.39</v>
      </c>
      <c r="AA33">
        <f t="shared" si="7"/>
        <v>24.85</v>
      </c>
    </row>
    <row r="34" spans="3:27" x14ac:dyDescent="0.25">
      <c r="C34" t="s">
        <v>27</v>
      </c>
      <c r="D34">
        <v>50.51</v>
      </c>
      <c r="E34" t="s">
        <v>31</v>
      </c>
      <c r="F34">
        <v>47.25</v>
      </c>
      <c r="G34" t="s">
        <v>26</v>
      </c>
      <c r="H34">
        <v>27.24</v>
      </c>
      <c r="I34" t="s">
        <v>15</v>
      </c>
      <c r="J34">
        <v>30.31</v>
      </c>
      <c r="K34" t="s">
        <v>22</v>
      </c>
      <c r="L34">
        <v>26.73</v>
      </c>
      <c r="M34" t="s">
        <v>14</v>
      </c>
      <c r="N34">
        <v>25.39</v>
      </c>
      <c r="O34" t="s">
        <v>23</v>
      </c>
      <c r="P34">
        <v>25.15</v>
      </c>
      <c r="S34" t="s">
        <v>23</v>
      </c>
      <c r="T34">
        <f t="shared" si="0"/>
        <v>26.26</v>
      </c>
      <c r="U34">
        <f t="shared" si="1"/>
        <v>22.95</v>
      </c>
      <c r="V34">
        <f t="shared" si="2"/>
        <v>23.57</v>
      </c>
      <c r="W34">
        <f t="shared" si="3"/>
        <v>23.99</v>
      </c>
      <c r="X34">
        <f t="shared" si="4"/>
        <v>20.53</v>
      </c>
      <c r="Y34">
        <f t="shared" si="5"/>
        <v>19.670000000000002</v>
      </c>
      <c r="Z34">
        <f t="shared" si="6"/>
        <v>24.03</v>
      </c>
      <c r="AA34">
        <f t="shared" si="7"/>
        <v>25.15</v>
      </c>
    </row>
    <row r="35" spans="3:27" x14ac:dyDescent="0.25">
      <c r="C35" t="s">
        <v>35</v>
      </c>
      <c r="D35">
        <v>6.71</v>
      </c>
      <c r="E35" t="s">
        <v>27</v>
      </c>
      <c r="F35">
        <v>48.15</v>
      </c>
      <c r="G35" t="s">
        <v>34</v>
      </c>
      <c r="H35">
        <v>29.56</v>
      </c>
      <c r="I35" t="s">
        <v>27</v>
      </c>
      <c r="J35">
        <v>49.5</v>
      </c>
      <c r="K35" t="s">
        <v>34</v>
      </c>
      <c r="L35">
        <v>27.48</v>
      </c>
      <c r="M35" t="s">
        <v>46</v>
      </c>
      <c r="N35">
        <v>26.8</v>
      </c>
      <c r="O35" t="s">
        <v>24</v>
      </c>
      <c r="P35">
        <v>25.39</v>
      </c>
      <c r="S35" t="s">
        <v>24</v>
      </c>
      <c r="T35">
        <f t="shared" si="0"/>
        <v>27.74</v>
      </c>
      <c r="U35">
        <f t="shared" si="1"/>
        <v>27.11</v>
      </c>
      <c r="V35">
        <f t="shared" si="2"/>
        <v>26.66</v>
      </c>
      <c r="W35">
        <f t="shared" si="3"/>
        <v>25.46</v>
      </c>
      <c r="X35">
        <f t="shared" si="4"/>
        <v>20.27</v>
      </c>
      <c r="Y35">
        <f t="shared" si="5"/>
        <v>20.58</v>
      </c>
      <c r="Z35">
        <f t="shared" si="6"/>
        <v>23.95</v>
      </c>
      <c r="AA35">
        <f t="shared" si="7"/>
        <v>25.39</v>
      </c>
    </row>
    <row r="36" spans="3:27" x14ac:dyDescent="0.25">
      <c r="C36" t="s">
        <v>28</v>
      </c>
      <c r="D36">
        <v>8.02</v>
      </c>
      <c r="E36" t="s">
        <v>28</v>
      </c>
      <c r="F36">
        <v>6.57</v>
      </c>
      <c r="G36" t="s">
        <v>25</v>
      </c>
      <c r="H36">
        <v>30.39</v>
      </c>
      <c r="I36" t="s">
        <v>41</v>
      </c>
      <c r="J36">
        <v>51.55</v>
      </c>
      <c r="K36" t="s">
        <v>40</v>
      </c>
      <c r="L36">
        <v>30.51</v>
      </c>
      <c r="M36" t="s">
        <v>22</v>
      </c>
      <c r="N36">
        <v>28.67</v>
      </c>
      <c r="O36" t="s">
        <v>53</v>
      </c>
      <c r="P36">
        <v>26.16</v>
      </c>
      <c r="S36" t="s">
        <v>53</v>
      </c>
      <c r="T36" t="e">
        <f t="shared" si="0"/>
        <v>#N/A</v>
      </c>
      <c r="U36" t="e">
        <f t="shared" si="1"/>
        <v>#N/A</v>
      </c>
      <c r="V36" t="e">
        <f t="shared" si="2"/>
        <v>#N/A</v>
      </c>
      <c r="W36" t="e">
        <f t="shared" si="3"/>
        <v>#N/A</v>
      </c>
      <c r="X36" t="e">
        <f t="shared" si="4"/>
        <v>#N/A</v>
      </c>
      <c r="Y36" t="e">
        <f t="shared" si="5"/>
        <v>#N/A</v>
      </c>
      <c r="Z36" t="e">
        <f t="shared" si="6"/>
        <v>#N/A</v>
      </c>
      <c r="AA36">
        <f t="shared" si="7"/>
        <v>26.16</v>
      </c>
    </row>
    <row r="37" spans="3:27" x14ac:dyDescent="0.25">
      <c r="G37" t="s">
        <v>31</v>
      </c>
      <c r="H37">
        <v>46.07</v>
      </c>
      <c r="I37" t="s">
        <v>38</v>
      </c>
      <c r="J37">
        <v>7.92</v>
      </c>
      <c r="K37" t="s">
        <v>26</v>
      </c>
      <c r="L37">
        <v>32.19</v>
      </c>
      <c r="M37" t="s">
        <v>50</v>
      </c>
      <c r="N37">
        <v>30.03</v>
      </c>
      <c r="O37" t="s">
        <v>45</v>
      </c>
      <c r="P37">
        <v>26.36</v>
      </c>
      <c r="S37" t="s">
        <v>45</v>
      </c>
      <c r="T37" t="e">
        <f t="shared" si="0"/>
        <v>#N/A</v>
      </c>
      <c r="U37" t="e">
        <f t="shared" si="1"/>
        <v>#N/A</v>
      </c>
      <c r="V37" t="e">
        <f t="shared" si="2"/>
        <v>#N/A</v>
      </c>
      <c r="W37" t="e">
        <f t="shared" si="3"/>
        <v>#N/A</v>
      </c>
      <c r="X37" t="e">
        <f t="shared" si="4"/>
        <v>#N/A</v>
      </c>
      <c r="Y37">
        <f t="shared" si="5"/>
        <v>19.64</v>
      </c>
      <c r="Z37">
        <f t="shared" si="6"/>
        <v>21.65</v>
      </c>
      <c r="AA37">
        <f t="shared" si="7"/>
        <v>26.36</v>
      </c>
    </row>
    <row r="38" spans="3:27" x14ac:dyDescent="0.25">
      <c r="G38" t="s">
        <v>27</v>
      </c>
      <c r="H38">
        <v>56.27</v>
      </c>
      <c r="I38" t="s">
        <v>42</v>
      </c>
      <c r="J38">
        <v>9.23</v>
      </c>
      <c r="K38" t="s">
        <v>31</v>
      </c>
      <c r="L38">
        <v>35.630000000000003</v>
      </c>
      <c r="M38" t="s">
        <v>40</v>
      </c>
      <c r="N38">
        <v>31.02</v>
      </c>
      <c r="O38" t="s">
        <v>31</v>
      </c>
      <c r="P38">
        <v>28.7</v>
      </c>
      <c r="S38" t="s">
        <v>31</v>
      </c>
      <c r="T38" t="e">
        <f t="shared" si="0"/>
        <v>#N/A</v>
      </c>
      <c r="U38">
        <f t="shared" si="1"/>
        <v>118.93</v>
      </c>
      <c r="V38">
        <f t="shared" si="2"/>
        <v>47.25</v>
      </c>
      <c r="W38">
        <f t="shared" si="3"/>
        <v>46.07</v>
      </c>
      <c r="X38">
        <f t="shared" si="4"/>
        <v>26.54</v>
      </c>
      <c r="Y38">
        <f t="shared" si="5"/>
        <v>35.630000000000003</v>
      </c>
      <c r="Z38">
        <f t="shared" si="6"/>
        <v>33.74</v>
      </c>
      <c r="AA38">
        <f t="shared" si="7"/>
        <v>28.7</v>
      </c>
    </row>
    <row r="39" spans="3:27" x14ac:dyDescent="0.25">
      <c r="G39" t="s">
        <v>28</v>
      </c>
      <c r="H39">
        <v>7.78</v>
      </c>
      <c r="I39" t="s">
        <v>37</v>
      </c>
      <c r="J39">
        <v>9.24</v>
      </c>
      <c r="K39" t="s">
        <v>47</v>
      </c>
      <c r="L39">
        <v>4.4800000000000004</v>
      </c>
      <c r="M39" t="s">
        <v>27</v>
      </c>
      <c r="N39">
        <v>32.28</v>
      </c>
      <c r="O39" t="s">
        <v>22</v>
      </c>
      <c r="P39">
        <v>28.72</v>
      </c>
      <c r="S39" t="s">
        <v>22</v>
      </c>
      <c r="T39">
        <f t="shared" si="0"/>
        <v>25.2</v>
      </c>
      <c r="U39">
        <f t="shared" si="1"/>
        <v>25.37</v>
      </c>
      <c r="V39">
        <f t="shared" si="2"/>
        <v>25.79</v>
      </c>
      <c r="W39">
        <f t="shared" si="3"/>
        <v>26.81</v>
      </c>
      <c r="X39">
        <f t="shared" si="4"/>
        <v>26.14</v>
      </c>
      <c r="Y39">
        <f t="shared" si="5"/>
        <v>26.73</v>
      </c>
      <c r="Z39">
        <f t="shared" si="6"/>
        <v>28.67</v>
      </c>
      <c r="AA39">
        <f t="shared" si="7"/>
        <v>28.72</v>
      </c>
    </row>
    <row r="40" spans="3:27" x14ac:dyDescent="0.25">
      <c r="I40" t="s">
        <v>2</v>
      </c>
      <c r="J40">
        <v>9.74</v>
      </c>
      <c r="K40" t="s">
        <v>20</v>
      </c>
      <c r="L40">
        <v>55.37</v>
      </c>
      <c r="M40" t="s">
        <v>26</v>
      </c>
      <c r="N40">
        <v>32.630000000000003</v>
      </c>
      <c r="O40" t="s">
        <v>40</v>
      </c>
      <c r="P40">
        <v>29.32</v>
      </c>
      <c r="S40" t="s">
        <v>40</v>
      </c>
      <c r="T40" t="e">
        <f t="shared" si="0"/>
        <v>#N/A</v>
      </c>
      <c r="U40" t="e">
        <f t="shared" si="1"/>
        <v>#N/A</v>
      </c>
      <c r="V40" t="e">
        <f t="shared" si="2"/>
        <v>#N/A</v>
      </c>
      <c r="W40" t="e">
        <f t="shared" si="3"/>
        <v>#N/A</v>
      </c>
      <c r="X40">
        <f t="shared" si="4"/>
        <v>28.66</v>
      </c>
      <c r="Y40">
        <f t="shared" si="5"/>
        <v>30.51</v>
      </c>
      <c r="Z40">
        <f t="shared" si="6"/>
        <v>31.02</v>
      </c>
      <c r="AA40">
        <f t="shared" si="7"/>
        <v>29.32</v>
      </c>
    </row>
    <row r="41" spans="3:27" x14ac:dyDescent="0.25">
      <c r="K41" t="s">
        <v>41</v>
      </c>
      <c r="L41">
        <v>60.39</v>
      </c>
      <c r="M41" t="s">
        <v>31</v>
      </c>
      <c r="N41">
        <v>33.74</v>
      </c>
      <c r="O41" t="s">
        <v>33</v>
      </c>
      <c r="P41">
        <v>29.79</v>
      </c>
      <c r="S41" t="s">
        <v>33</v>
      </c>
      <c r="T41" t="e">
        <f t="shared" si="0"/>
        <v>#N/A</v>
      </c>
      <c r="U41">
        <f t="shared" si="1"/>
        <v>29.93</v>
      </c>
      <c r="V41">
        <f t="shared" si="2"/>
        <v>25.23</v>
      </c>
      <c r="W41">
        <f t="shared" si="3"/>
        <v>16.28</v>
      </c>
      <c r="X41">
        <f t="shared" si="4"/>
        <v>16.850000000000001</v>
      </c>
      <c r="Y41">
        <f t="shared" si="5"/>
        <v>19.45</v>
      </c>
      <c r="Z41">
        <f t="shared" si="6"/>
        <v>20.97</v>
      </c>
      <c r="AA41">
        <f t="shared" si="7"/>
        <v>29.79</v>
      </c>
    </row>
    <row r="42" spans="3:27" x14ac:dyDescent="0.25">
      <c r="K42" t="s">
        <v>27</v>
      </c>
      <c r="L42">
        <v>78.040000000000006</v>
      </c>
      <c r="M42" t="s">
        <v>25</v>
      </c>
      <c r="N42">
        <v>34.130000000000003</v>
      </c>
      <c r="O42" t="s">
        <v>26</v>
      </c>
      <c r="P42">
        <v>31.68</v>
      </c>
      <c r="S42" t="s">
        <v>26</v>
      </c>
      <c r="T42">
        <f t="shared" si="0"/>
        <v>28.93</v>
      </c>
      <c r="U42">
        <f t="shared" si="1"/>
        <v>27.21</v>
      </c>
      <c r="V42">
        <f t="shared" si="2"/>
        <v>27.11</v>
      </c>
      <c r="W42">
        <f t="shared" si="3"/>
        <v>27.24</v>
      </c>
      <c r="X42">
        <f t="shared" si="4"/>
        <v>28.13</v>
      </c>
      <c r="Y42">
        <f t="shared" si="5"/>
        <v>32.19</v>
      </c>
      <c r="Z42">
        <f t="shared" si="6"/>
        <v>32.630000000000003</v>
      </c>
      <c r="AA42">
        <f t="shared" si="7"/>
        <v>31.68</v>
      </c>
    </row>
    <row r="43" spans="3:27" x14ac:dyDescent="0.25">
      <c r="K43" t="s">
        <v>38</v>
      </c>
      <c r="L43">
        <v>8.6300000000000008</v>
      </c>
      <c r="M43" t="s">
        <v>34</v>
      </c>
      <c r="N43">
        <v>34.270000000000003</v>
      </c>
      <c r="O43" t="s">
        <v>20</v>
      </c>
      <c r="P43">
        <v>32.15</v>
      </c>
      <c r="S43" t="s">
        <v>20</v>
      </c>
      <c r="T43">
        <f t="shared" si="0"/>
        <v>23.81</v>
      </c>
      <c r="U43">
        <f t="shared" si="1"/>
        <v>20.97</v>
      </c>
      <c r="V43">
        <f t="shared" si="2"/>
        <v>19.77</v>
      </c>
      <c r="W43">
        <f t="shared" si="3"/>
        <v>24.32</v>
      </c>
      <c r="X43">
        <f t="shared" si="4"/>
        <v>24.9</v>
      </c>
      <c r="Y43">
        <f t="shared" si="5"/>
        <v>55.37</v>
      </c>
      <c r="Z43">
        <f t="shared" si="6"/>
        <v>48.92</v>
      </c>
      <c r="AA43">
        <f t="shared" si="7"/>
        <v>32.15</v>
      </c>
    </row>
    <row r="44" spans="3:27" x14ac:dyDescent="0.25">
      <c r="K44" t="s">
        <v>42</v>
      </c>
      <c r="L44">
        <v>8.82</v>
      </c>
      <c r="M44" t="s">
        <v>20</v>
      </c>
      <c r="N44">
        <v>48.92</v>
      </c>
      <c r="O44" t="s">
        <v>54</v>
      </c>
      <c r="P44">
        <v>32.51</v>
      </c>
      <c r="S44" t="s">
        <v>54</v>
      </c>
      <c r="T44" t="e">
        <f t="shared" si="0"/>
        <v>#N/A</v>
      </c>
      <c r="U44" t="e">
        <f t="shared" si="1"/>
        <v>#N/A</v>
      </c>
      <c r="V44" t="e">
        <f t="shared" si="2"/>
        <v>#N/A</v>
      </c>
      <c r="W44" t="e">
        <f t="shared" si="3"/>
        <v>#N/A</v>
      </c>
      <c r="X44" t="e">
        <f t="shared" si="4"/>
        <v>#N/A</v>
      </c>
      <c r="Y44" t="e">
        <f t="shared" si="5"/>
        <v>#N/A</v>
      </c>
      <c r="Z44" t="e">
        <f t="shared" si="6"/>
        <v>#N/A</v>
      </c>
      <c r="AA44">
        <f t="shared" si="7"/>
        <v>32.51</v>
      </c>
    </row>
    <row r="45" spans="3:27" x14ac:dyDescent="0.25">
      <c r="K45" t="s">
        <v>37</v>
      </c>
      <c r="L45">
        <v>9.27</v>
      </c>
      <c r="M45" t="s">
        <v>41</v>
      </c>
      <c r="N45">
        <v>67.680000000000007</v>
      </c>
      <c r="O45" t="s">
        <v>46</v>
      </c>
      <c r="P45">
        <v>33.06</v>
      </c>
      <c r="S45" t="s">
        <v>46</v>
      </c>
      <c r="T45" t="e">
        <f t="shared" si="0"/>
        <v>#N/A</v>
      </c>
      <c r="U45" t="e">
        <f t="shared" si="1"/>
        <v>#N/A</v>
      </c>
      <c r="V45" t="e">
        <f t="shared" si="2"/>
        <v>#N/A</v>
      </c>
      <c r="W45" t="e">
        <f t="shared" si="3"/>
        <v>#N/A</v>
      </c>
      <c r="X45" t="e">
        <f t="shared" si="4"/>
        <v>#N/A</v>
      </c>
      <c r="Y45">
        <f t="shared" si="5"/>
        <v>20.190000000000001</v>
      </c>
      <c r="Z45">
        <f t="shared" si="6"/>
        <v>26.8</v>
      </c>
      <c r="AA45">
        <f t="shared" si="7"/>
        <v>33.06</v>
      </c>
    </row>
    <row r="46" spans="3:27" x14ac:dyDescent="0.25">
      <c r="K46" t="s">
        <v>2</v>
      </c>
      <c r="L46">
        <v>9.48</v>
      </c>
      <c r="M46" t="s">
        <v>30</v>
      </c>
      <c r="N46">
        <v>9.65</v>
      </c>
      <c r="O46" t="s">
        <v>27</v>
      </c>
      <c r="P46">
        <v>33.28</v>
      </c>
      <c r="S46" t="s">
        <v>27</v>
      </c>
      <c r="T46">
        <f t="shared" si="0"/>
        <v>40.51</v>
      </c>
      <c r="U46">
        <f t="shared" si="1"/>
        <v>50.51</v>
      </c>
      <c r="V46">
        <f t="shared" si="2"/>
        <v>48.15</v>
      </c>
      <c r="W46">
        <f t="shared" si="3"/>
        <v>56.27</v>
      </c>
      <c r="X46">
        <f t="shared" si="4"/>
        <v>49.5</v>
      </c>
      <c r="Y46">
        <f t="shared" si="5"/>
        <v>78.040000000000006</v>
      </c>
      <c r="Z46">
        <f t="shared" si="6"/>
        <v>32.28</v>
      </c>
      <c r="AA46">
        <f t="shared" si="7"/>
        <v>33.28</v>
      </c>
    </row>
    <row r="47" spans="3:27" x14ac:dyDescent="0.25">
      <c r="O47" t="s">
        <v>34</v>
      </c>
      <c r="P47">
        <v>36.299999999999997</v>
      </c>
      <c r="S47" t="s">
        <v>34</v>
      </c>
      <c r="T47" t="e">
        <f t="shared" si="0"/>
        <v>#N/A</v>
      </c>
      <c r="U47">
        <f t="shared" si="1"/>
        <v>43.38</v>
      </c>
      <c r="V47">
        <f t="shared" si="2"/>
        <v>36.270000000000003</v>
      </c>
      <c r="W47">
        <f t="shared" si="3"/>
        <v>29.56</v>
      </c>
      <c r="X47">
        <f t="shared" si="4"/>
        <v>27.96</v>
      </c>
      <c r="Y47">
        <f t="shared" si="5"/>
        <v>27.48</v>
      </c>
      <c r="Z47">
        <f t="shared" si="6"/>
        <v>34.270000000000003</v>
      </c>
      <c r="AA47">
        <f t="shared" si="7"/>
        <v>36.299999999999997</v>
      </c>
    </row>
    <row r="48" spans="3:27" x14ac:dyDescent="0.25">
      <c r="O48" t="s">
        <v>41</v>
      </c>
      <c r="P48">
        <v>65.48</v>
      </c>
      <c r="S48" t="s">
        <v>41</v>
      </c>
      <c r="T48" t="e">
        <f t="shared" si="0"/>
        <v>#N/A</v>
      </c>
      <c r="U48" t="e">
        <f t="shared" si="1"/>
        <v>#N/A</v>
      </c>
      <c r="V48" t="e">
        <f t="shared" si="2"/>
        <v>#N/A</v>
      </c>
      <c r="W48" t="e">
        <f t="shared" si="3"/>
        <v>#N/A</v>
      </c>
      <c r="X48">
        <f t="shared" si="4"/>
        <v>51.55</v>
      </c>
      <c r="Y48">
        <f t="shared" si="5"/>
        <v>60.39</v>
      </c>
      <c r="Z48">
        <f t="shared" si="6"/>
        <v>67.680000000000007</v>
      </c>
      <c r="AA48">
        <f t="shared" si="7"/>
        <v>65.48</v>
      </c>
    </row>
    <row r="49" spans="15:27" x14ac:dyDescent="0.25">
      <c r="O49" t="s">
        <v>55</v>
      </c>
      <c r="P49">
        <v>9.3000000000000007</v>
      </c>
      <c r="S49" t="s">
        <v>55</v>
      </c>
      <c r="T49" t="e">
        <f t="shared" si="0"/>
        <v>#N/A</v>
      </c>
      <c r="U49" t="e">
        <f t="shared" si="1"/>
        <v>#N/A</v>
      </c>
      <c r="V49" t="e">
        <f t="shared" si="2"/>
        <v>#N/A</v>
      </c>
      <c r="W49" t="e">
        <f t="shared" si="3"/>
        <v>#N/A</v>
      </c>
      <c r="X49" t="e">
        <f t="shared" si="4"/>
        <v>#N/A</v>
      </c>
      <c r="Y49" t="e">
        <f t="shared" si="5"/>
        <v>#N/A</v>
      </c>
      <c r="Z49" t="e">
        <f t="shared" si="6"/>
        <v>#N/A</v>
      </c>
      <c r="AA49">
        <f t="shared" si="7"/>
        <v>9.3000000000000007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8"/>
  <sheetViews>
    <sheetView workbookViewId="0">
      <selection sqref="A1:A96"/>
    </sheetView>
  </sheetViews>
  <sheetFormatPr defaultRowHeight="15" x14ac:dyDescent="0.25"/>
  <cols>
    <col min="11" max="11" width="7.7109375" bestFit="1" customWidth="1"/>
  </cols>
  <sheetData>
    <row r="1" spans="1:19" x14ac:dyDescent="0.25">
      <c r="A1" t="s">
        <v>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K1" t="s">
        <v>0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</row>
    <row r="2" spans="1:19" x14ac:dyDescent="0.25">
      <c r="A2" t="s">
        <v>56</v>
      </c>
      <c r="B2">
        <v>12.844036697247708</v>
      </c>
      <c r="C2">
        <v>13.821138211382115</v>
      </c>
      <c r="D2">
        <v>13.571428571428571</v>
      </c>
      <c r="E2">
        <v>8.5408805031446544</v>
      </c>
      <c r="F2">
        <v>9.4448951211032561</v>
      </c>
      <c r="G2">
        <v>17.609063955950869</v>
      </c>
      <c r="H2">
        <v>0.38714324299990999</v>
      </c>
      <c r="I2">
        <v>4.5739910313901344</v>
      </c>
      <c r="K2" t="s">
        <v>29</v>
      </c>
      <c r="L2">
        <f>VLOOKUP($K2,$A:$I,2,FALSE)</f>
        <v>-3.671997590068929</v>
      </c>
      <c r="M2">
        <f>VLOOKUP($K2,$A:$I,3,FALSE)</f>
        <v>-5.8642868478291215</v>
      </c>
      <c r="N2">
        <f>VLOOKUP($K2,$A:$I,4,FALSE)</f>
        <v>-7.7982665780783629</v>
      </c>
      <c r="O2">
        <f>VLOOKUP($K2,$A:$I,5,FALSE)</f>
        <v>4.4537824616044067E-2</v>
      </c>
      <c r="P2">
        <f>VLOOKUP($K2,$A:$I,6,FALSE)</f>
        <v>-0.19305824558024268</v>
      </c>
      <c r="Q2">
        <f>VLOOKUP($K2,$A:$I,7,FALSE)</f>
        <v>-9.0801730049166718</v>
      </c>
      <c r="R2">
        <f>VLOOKUP($K2,$A:$I,8,FALSE)</f>
        <v>-13.338666095479827</v>
      </c>
      <c r="S2">
        <f>VLOOKUP($K2,$A:$I,9,FALSE)</f>
        <v>4.3801913875598091</v>
      </c>
    </row>
    <row r="3" spans="1:19" x14ac:dyDescent="0.25">
      <c r="A3" t="s">
        <v>57</v>
      </c>
      <c r="B3">
        <v>35.908440629470675</v>
      </c>
      <c r="C3">
        <v>-6.7368421052631575</v>
      </c>
      <c r="D3">
        <v>41.264108352144468</v>
      </c>
      <c r="E3">
        <v>0.67114093959731547</v>
      </c>
      <c r="F3">
        <v>44.19047619047619</v>
      </c>
      <c r="G3">
        <v>-4.8767062967855574</v>
      </c>
      <c r="H3">
        <v>3.0899201481310037</v>
      </c>
      <c r="I3">
        <v>4.7036371800628647</v>
      </c>
      <c r="K3" t="s">
        <v>42</v>
      </c>
      <c r="L3">
        <f t="shared" ref="L3:L49" si="0">VLOOKUP($K3,$A:$I,2,FALSE)</f>
        <v>8.7884494664155675</v>
      </c>
      <c r="M3">
        <f t="shared" ref="M3:M49" si="1">VLOOKUP($K3,$A:$I,3,FALSE)</f>
        <v>0</v>
      </c>
      <c r="N3">
        <f t="shared" ref="N3:N49" si="2">VLOOKUP($K3,$A:$I,4,FALSE)</f>
        <v>6.3473744950952105</v>
      </c>
      <c r="O3">
        <f t="shared" ref="O3:O49" si="3">VLOOKUP($K3,$A:$I,5,FALSE)</f>
        <v>27.94899620184481</v>
      </c>
      <c r="P3">
        <f t="shared" ref="P3:P49" si="4">VLOOKUP($K3,$A:$I,6,FALSE)</f>
        <v>0</v>
      </c>
      <c r="Q3">
        <f t="shared" ref="Q3:Q49" si="5">VLOOKUP($K3,$A:$I,7,FALSE)</f>
        <v>0.25020143335736783</v>
      </c>
      <c r="R3">
        <f t="shared" ref="R3:R49" si="6">VLOOKUP($K3,$A:$I,8,FALSE)</f>
        <v>5.7529610829103213</v>
      </c>
      <c r="S3">
        <f t="shared" ref="S3:S49" si="7">VLOOKUP($K3,$A:$I,9,FALSE)</f>
        <v>0</v>
      </c>
    </row>
    <row r="4" spans="1:19" x14ac:dyDescent="0.25">
      <c r="A4" t="s">
        <v>58</v>
      </c>
      <c r="B4">
        <v>47.084343498787803</v>
      </c>
      <c r="C4">
        <v>127.97187166703242</v>
      </c>
      <c r="D4">
        <v>60.127897882262126</v>
      </c>
      <c r="E4">
        <v>-32.403386018651794</v>
      </c>
      <c r="F4">
        <v>12.419048666860931</v>
      </c>
      <c r="G4">
        <v>-12.080586668177579</v>
      </c>
      <c r="H4">
        <v>8.9702292413073277</v>
      </c>
      <c r="I4">
        <v>0.96006144393241177</v>
      </c>
      <c r="K4" t="s">
        <v>44</v>
      </c>
      <c r="L4">
        <f t="shared" si="0"/>
        <v>11.111111111111111</v>
      </c>
      <c r="M4">
        <f t="shared" si="1"/>
        <v>0</v>
      </c>
      <c r="N4">
        <f t="shared" si="2"/>
        <v>24</v>
      </c>
      <c r="O4">
        <f t="shared" si="3"/>
        <v>0</v>
      </c>
      <c r="P4">
        <f t="shared" si="4"/>
        <v>16.129032258064516</v>
      </c>
      <c r="Q4">
        <f t="shared" si="5"/>
        <v>0</v>
      </c>
      <c r="R4">
        <f t="shared" si="6"/>
        <v>20.833333333333336</v>
      </c>
      <c r="S4">
        <f t="shared" si="7"/>
        <v>3.4482758620689653</v>
      </c>
    </row>
    <row r="5" spans="1:19" x14ac:dyDescent="0.25">
      <c r="A5" t="s">
        <v>59</v>
      </c>
      <c r="B5">
        <v>0</v>
      </c>
      <c r="C5">
        <v>0</v>
      </c>
      <c r="D5">
        <v>0</v>
      </c>
      <c r="E5">
        <v>0</v>
      </c>
      <c r="F5">
        <v>-25</v>
      </c>
      <c r="G5">
        <v>0</v>
      </c>
      <c r="H5">
        <v>20</v>
      </c>
      <c r="I5">
        <v>0</v>
      </c>
      <c r="K5" t="s">
        <v>37</v>
      </c>
      <c r="L5">
        <f t="shared" si="0"/>
        <v>-0.57087400810641087</v>
      </c>
      <c r="M5">
        <f t="shared" si="1"/>
        <v>10.865820749842108</v>
      </c>
      <c r="N5">
        <f t="shared" si="2"/>
        <v>3.3584505036381009</v>
      </c>
      <c r="O5">
        <f t="shared" si="3"/>
        <v>6.5994839162240639</v>
      </c>
      <c r="P5">
        <f t="shared" si="4"/>
        <v>6.7422870605930747</v>
      </c>
      <c r="Q5">
        <f t="shared" si="5"/>
        <v>8.333540661628982</v>
      </c>
      <c r="R5">
        <f t="shared" si="6"/>
        <v>-4.0991477747904437</v>
      </c>
      <c r="S5">
        <f t="shared" si="7"/>
        <v>9.568509921550735</v>
      </c>
    </row>
    <row r="6" spans="1:19" x14ac:dyDescent="0.25">
      <c r="A6" t="s">
        <v>60</v>
      </c>
      <c r="B6" t="s">
        <v>61</v>
      </c>
      <c r="C6" t="s">
        <v>61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K6" t="s">
        <v>3</v>
      </c>
      <c r="L6">
        <f t="shared" si="0"/>
        <v>-3.9593217145758959</v>
      </c>
      <c r="M6">
        <f t="shared" si="1"/>
        <v>-1.3257558055127963</v>
      </c>
      <c r="N6">
        <f t="shared" si="2"/>
        <v>3.5520256533311456</v>
      </c>
      <c r="O6">
        <f t="shared" si="3"/>
        <v>7.2263575361179164</v>
      </c>
      <c r="P6">
        <f t="shared" si="4"/>
        <v>2.571821743520573</v>
      </c>
      <c r="Q6">
        <f t="shared" si="5"/>
        <v>11.721590924206469</v>
      </c>
      <c r="R6">
        <f t="shared" si="6"/>
        <v>-0.20248943631449703</v>
      </c>
      <c r="S6">
        <f t="shared" si="7"/>
        <v>-0.70746262160380602</v>
      </c>
    </row>
    <row r="7" spans="1:19" x14ac:dyDescent="0.25">
      <c r="A7" t="s">
        <v>62</v>
      </c>
      <c r="B7">
        <v>-24.88532110091743</v>
      </c>
      <c r="C7">
        <v>104.42748091603053</v>
      </c>
      <c r="D7">
        <v>33.831217326362953</v>
      </c>
      <c r="E7">
        <v>7.9241071428571423</v>
      </c>
      <c r="F7">
        <v>6.6184074457083772</v>
      </c>
      <c r="G7">
        <v>36.17846750727449</v>
      </c>
      <c r="H7">
        <v>-16.809116809116809</v>
      </c>
      <c r="I7">
        <v>341.48116438356169</v>
      </c>
      <c r="K7" t="s">
        <v>8</v>
      </c>
      <c r="L7">
        <f t="shared" si="0"/>
        <v>-3.1244874638704037</v>
      </c>
      <c r="M7">
        <f t="shared" si="1"/>
        <v>1.2123781498552928</v>
      </c>
      <c r="N7">
        <f t="shared" si="2"/>
        <v>-2.9012332983704483</v>
      </c>
      <c r="O7">
        <f t="shared" si="3"/>
        <v>7.9929679391684267</v>
      </c>
      <c r="P7">
        <f t="shared" si="4"/>
        <v>-1.5880176257534726</v>
      </c>
      <c r="Q7">
        <f t="shared" si="5"/>
        <v>-4.3413561506420697</v>
      </c>
      <c r="R7">
        <f t="shared" si="6"/>
        <v>13.064433240273907</v>
      </c>
      <c r="S7">
        <f t="shared" si="7"/>
        <v>-6.8302151026374949</v>
      </c>
    </row>
    <row r="8" spans="1:19" x14ac:dyDescent="0.25">
      <c r="A8" t="s">
        <v>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K8" t="s">
        <v>1</v>
      </c>
      <c r="L8">
        <f t="shared" si="0"/>
        <v>8.6431701514961681</v>
      </c>
      <c r="M8">
        <f t="shared" si="1"/>
        <v>0.31438241947696649</v>
      </c>
      <c r="N8">
        <f t="shared" si="2"/>
        <v>8.4093371213644179</v>
      </c>
      <c r="O8">
        <f t="shared" si="3"/>
        <v>12.537341269799226</v>
      </c>
      <c r="P8">
        <f t="shared" si="4"/>
        <v>2.6534622885182446</v>
      </c>
      <c r="Q8">
        <f t="shared" si="5"/>
        <v>-22.078613034903459</v>
      </c>
      <c r="R8">
        <f t="shared" si="6"/>
        <v>-5.7261083511878228</v>
      </c>
      <c r="S8">
        <f t="shared" si="7"/>
        <v>14.690210896594619</v>
      </c>
    </row>
    <row r="9" spans="1:19" x14ac:dyDescent="0.25">
      <c r="A9" t="s">
        <v>64</v>
      </c>
      <c r="B9">
        <v>0.29582406181316906</v>
      </c>
      <c r="C9">
        <v>-2.8780572127012882</v>
      </c>
      <c r="D9">
        <v>-10.159035361122951</v>
      </c>
      <c r="E9">
        <v>-19.128259045146955</v>
      </c>
      <c r="F9">
        <v>-19.585369899582979</v>
      </c>
      <c r="G9">
        <v>76.876948908611169</v>
      </c>
      <c r="H9">
        <v>63.331434770816372</v>
      </c>
      <c r="I9">
        <v>-8.4035781953925799</v>
      </c>
      <c r="K9" t="s">
        <v>51</v>
      </c>
      <c r="L9">
        <f t="shared" si="0"/>
        <v>39.760607175097796</v>
      </c>
      <c r="M9">
        <f t="shared" si="1"/>
        <v>-13.927896461807135</v>
      </c>
      <c r="N9">
        <f t="shared" si="2"/>
        <v>-4.9556685844520416</v>
      </c>
      <c r="O9">
        <f t="shared" si="3"/>
        <v>19.183530237454676</v>
      </c>
      <c r="P9">
        <f t="shared" si="4"/>
        <v>-20.850917656296005</v>
      </c>
      <c r="Q9">
        <f t="shared" si="5"/>
        <v>1.2121024242048484</v>
      </c>
      <c r="R9">
        <f t="shared" si="6"/>
        <v>-18.69582529327085</v>
      </c>
      <c r="S9">
        <f t="shared" si="7"/>
        <v>31.705782633264278</v>
      </c>
    </row>
    <row r="10" spans="1:19" x14ac:dyDescent="0.25">
      <c r="A10" t="s">
        <v>30</v>
      </c>
      <c r="B10">
        <v>8.2683410442828809</v>
      </c>
      <c r="C10">
        <v>1.8863317257798669</v>
      </c>
      <c r="D10">
        <v>1.8573996405032953</v>
      </c>
      <c r="E10">
        <v>3.2941176470588238</v>
      </c>
      <c r="F10">
        <v>4.4988610478359909</v>
      </c>
      <c r="G10">
        <v>3.1607629427792916</v>
      </c>
      <c r="H10">
        <v>26.782884310618066</v>
      </c>
      <c r="I10">
        <v>3.3333333333333335</v>
      </c>
      <c r="K10" t="s">
        <v>4</v>
      </c>
      <c r="L10">
        <f t="shared" si="0"/>
        <v>14.933217907494434</v>
      </c>
      <c r="M10">
        <f t="shared" si="1"/>
        <v>-5.842793350191001</v>
      </c>
      <c r="N10">
        <f t="shared" si="2"/>
        <v>11.050797097308731</v>
      </c>
      <c r="O10">
        <f t="shared" si="3"/>
        <v>10.311294057113459</v>
      </c>
      <c r="P10">
        <f t="shared" si="4"/>
        <v>-21.983301459956163</v>
      </c>
      <c r="Q10">
        <f t="shared" si="5"/>
        <v>0.79516919765635441</v>
      </c>
      <c r="R10">
        <f t="shared" si="6"/>
        <v>-2.5031140637048486</v>
      </c>
      <c r="S10">
        <f t="shared" si="7"/>
        <v>-30.717284175944521</v>
      </c>
    </row>
    <row r="11" spans="1:19" x14ac:dyDescent="0.25">
      <c r="A11" t="s">
        <v>65</v>
      </c>
      <c r="B11" t="s">
        <v>61</v>
      </c>
      <c r="C11" t="s">
        <v>61</v>
      </c>
      <c r="D11">
        <v>100</v>
      </c>
      <c r="E11">
        <v>50</v>
      </c>
      <c r="F11">
        <v>0</v>
      </c>
      <c r="G11">
        <v>0</v>
      </c>
      <c r="H11">
        <v>0</v>
      </c>
      <c r="I11">
        <v>0</v>
      </c>
      <c r="K11" t="s">
        <v>30</v>
      </c>
      <c r="L11">
        <f t="shared" si="0"/>
        <v>8.2683410442828809</v>
      </c>
      <c r="M11">
        <f t="shared" si="1"/>
        <v>1.8863317257798669</v>
      </c>
      <c r="N11">
        <f t="shared" si="2"/>
        <v>1.8573996405032953</v>
      </c>
      <c r="O11">
        <f t="shared" si="3"/>
        <v>3.2941176470588238</v>
      </c>
      <c r="P11">
        <f t="shared" si="4"/>
        <v>4.4988610478359909</v>
      </c>
      <c r="Q11">
        <f t="shared" si="5"/>
        <v>3.1607629427792916</v>
      </c>
      <c r="R11">
        <f t="shared" si="6"/>
        <v>26.782884310618066</v>
      </c>
      <c r="S11">
        <f t="shared" si="7"/>
        <v>3.3333333333333335</v>
      </c>
    </row>
    <row r="12" spans="1:19" x14ac:dyDescent="0.25">
      <c r="A12" t="s">
        <v>66</v>
      </c>
      <c r="B12">
        <v>10.244784079850952</v>
      </c>
      <c r="C12">
        <v>-6.8917377820387911</v>
      </c>
      <c r="D12">
        <v>12.710076299679468</v>
      </c>
      <c r="E12">
        <v>-5.460271190083489</v>
      </c>
      <c r="F12">
        <v>12.971522119779566</v>
      </c>
      <c r="G12">
        <v>25.539921674297091</v>
      </c>
      <c r="H12">
        <v>-2.8537580179719653</v>
      </c>
      <c r="I12">
        <v>-4.0003127062097121</v>
      </c>
      <c r="K12" t="s">
        <v>49</v>
      </c>
      <c r="L12">
        <f t="shared" si="0"/>
        <v>7.22386403644472</v>
      </c>
      <c r="M12">
        <f t="shared" si="1"/>
        <v>-4.8222920936896774</v>
      </c>
      <c r="N12">
        <f t="shared" si="2"/>
        <v>-0.48507404174354846</v>
      </c>
      <c r="O12">
        <f t="shared" si="3"/>
        <v>-1.5374271862508733</v>
      </c>
      <c r="P12">
        <f t="shared" si="4"/>
        <v>-10.83881017412086</v>
      </c>
      <c r="Q12">
        <f t="shared" si="5"/>
        <v>12.731993921190874</v>
      </c>
      <c r="R12">
        <f t="shared" si="6"/>
        <v>-10.958613295969599</v>
      </c>
      <c r="S12">
        <f t="shared" si="7"/>
        <v>-12.86702032544555</v>
      </c>
    </row>
    <row r="13" spans="1:19" x14ac:dyDescent="0.25">
      <c r="A13" t="s">
        <v>37</v>
      </c>
      <c r="B13">
        <v>-0.57087400810641087</v>
      </c>
      <c r="C13">
        <v>10.865820749842108</v>
      </c>
      <c r="D13">
        <v>3.3584505036381009</v>
      </c>
      <c r="E13">
        <v>6.5994839162240639</v>
      </c>
      <c r="F13">
        <v>6.7422870605930747</v>
      </c>
      <c r="G13">
        <v>8.333540661628982</v>
      </c>
      <c r="H13">
        <v>-4.0991477747904437</v>
      </c>
      <c r="I13">
        <v>9.568509921550735</v>
      </c>
      <c r="K13" t="s">
        <v>6</v>
      </c>
      <c r="L13">
        <f t="shared" si="0"/>
        <v>-6.2815423660379581</v>
      </c>
      <c r="M13">
        <f t="shared" si="1"/>
        <v>12.36789041141081</v>
      </c>
      <c r="N13">
        <f t="shared" si="2"/>
        <v>-2.2193619060660046</v>
      </c>
      <c r="O13">
        <f t="shared" si="3"/>
        <v>-3.1872363785058448</v>
      </c>
      <c r="P13">
        <f t="shared" si="4"/>
        <v>6.6686608840149413</v>
      </c>
      <c r="Q13">
        <f t="shared" si="5"/>
        <v>-2.2299625675381614</v>
      </c>
      <c r="R13">
        <f t="shared" si="6"/>
        <v>2.9534656139885795</v>
      </c>
      <c r="S13">
        <f t="shared" si="7"/>
        <v>-4.1606043009278579</v>
      </c>
    </row>
    <row r="14" spans="1:19" x14ac:dyDescent="0.25">
      <c r="A14" t="s">
        <v>67</v>
      </c>
      <c r="B14">
        <v>21.872439603197673</v>
      </c>
      <c r="C14">
        <v>2.0369353564301997</v>
      </c>
      <c r="D14">
        <v>-8.4063943721125582</v>
      </c>
      <c r="E14">
        <v>3.3940418702623787</v>
      </c>
      <c r="F14">
        <v>-4.0199236095327366</v>
      </c>
      <c r="G14">
        <v>-2.2713161504584534</v>
      </c>
      <c r="H14">
        <v>-1.056410862563163</v>
      </c>
      <c r="I14">
        <v>2.9701196111517696</v>
      </c>
      <c r="K14" t="s">
        <v>5</v>
      </c>
      <c r="L14">
        <f t="shared" si="0"/>
        <v>-8.6658167700063764</v>
      </c>
      <c r="M14">
        <f t="shared" si="1"/>
        <v>2.5204389926365134</v>
      </c>
      <c r="N14">
        <f t="shared" si="2"/>
        <v>2.6883184394880697</v>
      </c>
      <c r="O14">
        <f t="shared" si="3"/>
        <v>-26.639828363425984</v>
      </c>
      <c r="P14">
        <f t="shared" si="4"/>
        <v>17.87756309148266</v>
      </c>
      <c r="Q14">
        <f t="shared" si="5"/>
        <v>25.639417381002151</v>
      </c>
      <c r="R14">
        <f t="shared" si="6"/>
        <v>-3.4934546261371215</v>
      </c>
      <c r="S14">
        <f t="shared" si="7"/>
        <v>-9.8688370061270732</v>
      </c>
    </row>
    <row r="15" spans="1:19" x14ac:dyDescent="0.25">
      <c r="A15" t="s">
        <v>68</v>
      </c>
      <c r="B15">
        <v>-3.5369774919614154</v>
      </c>
      <c r="C15">
        <v>-33.333333333333329</v>
      </c>
      <c r="D15">
        <v>13.999999999999998</v>
      </c>
      <c r="E15">
        <v>-12.280701754385962</v>
      </c>
      <c r="F15">
        <v>0</v>
      </c>
      <c r="G15">
        <v>-83.333333333333343</v>
      </c>
      <c r="H15">
        <v>0</v>
      </c>
      <c r="I15">
        <v>0</v>
      </c>
      <c r="K15" t="s">
        <v>10</v>
      </c>
      <c r="L15">
        <f t="shared" si="0"/>
        <v>1.3140322360295287</v>
      </c>
      <c r="M15">
        <f t="shared" si="1"/>
        <v>3.1950024767461063</v>
      </c>
      <c r="N15">
        <f t="shared" si="2"/>
        <v>-2.7894077175391345</v>
      </c>
      <c r="O15">
        <f t="shared" si="3"/>
        <v>10.336488080542065</v>
      </c>
      <c r="P15">
        <f t="shared" si="4"/>
        <v>5.9870276592105229</v>
      </c>
      <c r="Q15">
        <f t="shared" si="5"/>
        <v>-4.7732764080790142</v>
      </c>
      <c r="R15">
        <f t="shared" si="6"/>
        <v>-6.5822211054781228</v>
      </c>
      <c r="S15">
        <f t="shared" si="7"/>
        <v>-12.622685392725094</v>
      </c>
    </row>
    <row r="16" spans="1:19" x14ac:dyDescent="0.25">
      <c r="A16" t="s">
        <v>69</v>
      </c>
      <c r="B16">
        <v>136.86666666666667</v>
      </c>
      <c r="C16">
        <v>47.762454264002251</v>
      </c>
      <c r="D16">
        <v>0</v>
      </c>
      <c r="E16">
        <v>71.428571428571431</v>
      </c>
      <c r="F16">
        <v>27.777777777777779</v>
      </c>
      <c r="G16">
        <v>10.869565217391305</v>
      </c>
      <c r="H16">
        <v>9.8039215686274517</v>
      </c>
      <c r="I16">
        <v>8.9285714285714288</v>
      </c>
      <c r="K16" t="s">
        <v>7</v>
      </c>
      <c r="L16">
        <f t="shared" si="0"/>
        <v>12.938007140538785</v>
      </c>
      <c r="M16">
        <f t="shared" si="1"/>
        <v>7.2226277582034815</v>
      </c>
      <c r="N16">
        <f t="shared" si="2"/>
        <v>9.3729730309251824</v>
      </c>
      <c r="O16">
        <f t="shared" si="3"/>
        <v>21.693165777917191</v>
      </c>
      <c r="P16">
        <f t="shared" si="4"/>
        <v>17.278376756493337</v>
      </c>
      <c r="Q16">
        <f t="shared" si="5"/>
        <v>9.6664079617025074</v>
      </c>
      <c r="R16">
        <f t="shared" si="6"/>
        <v>9.0326358574819476</v>
      </c>
      <c r="S16">
        <f t="shared" si="7"/>
        <v>4.9059844279079918</v>
      </c>
    </row>
    <row r="17" spans="1:19" x14ac:dyDescent="0.25">
      <c r="A17" t="s">
        <v>20</v>
      </c>
      <c r="B17">
        <v>6.9474589498778885</v>
      </c>
      <c r="C17">
        <v>5.8926624897778774</v>
      </c>
      <c r="D17">
        <v>3.0905090507336497</v>
      </c>
      <c r="E17">
        <v>3.4622093554979472</v>
      </c>
      <c r="F17">
        <v>3.8354226936676312</v>
      </c>
      <c r="G17">
        <v>2.1255247158176278</v>
      </c>
      <c r="H17">
        <v>3.500247235415479</v>
      </c>
      <c r="I17">
        <v>4.4300277899502953</v>
      </c>
      <c r="K17" t="s">
        <v>43</v>
      </c>
      <c r="L17">
        <f t="shared" si="0"/>
        <v>9.3477144324601955</v>
      </c>
      <c r="M17">
        <f t="shared" si="1"/>
        <v>-2.0197275716298733</v>
      </c>
      <c r="N17">
        <f t="shared" si="2"/>
        <v>-0.93480345158197509</v>
      </c>
      <c r="O17">
        <f t="shared" si="3"/>
        <v>-8.3692233244616521</v>
      </c>
      <c r="P17">
        <f t="shared" si="4"/>
        <v>1.2568984183148031</v>
      </c>
      <c r="Q17">
        <f t="shared" si="5"/>
        <v>4.5419459149346775</v>
      </c>
      <c r="R17">
        <f t="shared" si="6"/>
        <v>-16.155924238002232</v>
      </c>
      <c r="S17">
        <f t="shared" si="7"/>
        <v>-38.718017374747113</v>
      </c>
    </row>
    <row r="18" spans="1:19" x14ac:dyDescent="0.25">
      <c r="A18" t="s">
        <v>70</v>
      </c>
      <c r="B18">
        <v>24.390243902439025</v>
      </c>
      <c r="C18">
        <v>0</v>
      </c>
      <c r="D18">
        <v>0</v>
      </c>
      <c r="E18">
        <v>0</v>
      </c>
      <c r="F18">
        <v>0</v>
      </c>
      <c r="G18">
        <v>-58.82352941176471</v>
      </c>
      <c r="H18">
        <v>-47.619047619047613</v>
      </c>
      <c r="I18">
        <v>0</v>
      </c>
      <c r="K18" t="s">
        <v>32</v>
      </c>
      <c r="L18">
        <f t="shared" si="0"/>
        <v>80.480996349581275</v>
      </c>
      <c r="M18">
        <f t="shared" si="1"/>
        <v>37.872298235177475</v>
      </c>
      <c r="N18">
        <f t="shared" si="2"/>
        <v>-8.0239899897884364</v>
      </c>
      <c r="O18">
        <f t="shared" si="3"/>
        <v>77.507427677873352</v>
      </c>
      <c r="P18">
        <f t="shared" si="4"/>
        <v>19.246038737564149</v>
      </c>
      <c r="Q18">
        <f t="shared" si="5"/>
        <v>30.892166761062818</v>
      </c>
      <c r="R18">
        <f t="shared" si="6"/>
        <v>-3.3713361176957521</v>
      </c>
      <c r="S18">
        <f t="shared" si="7"/>
        <v>-3.4266578404267745</v>
      </c>
    </row>
    <row r="19" spans="1:19" x14ac:dyDescent="0.25">
      <c r="A19" t="s">
        <v>11</v>
      </c>
      <c r="B19">
        <v>22.64946500344983</v>
      </c>
      <c r="C19">
        <v>-7.5497812304670067</v>
      </c>
      <c r="D19">
        <v>11.854928285120971</v>
      </c>
      <c r="E19">
        <v>-17.185192860658489</v>
      </c>
      <c r="F19">
        <v>-3.3821306056909375</v>
      </c>
      <c r="G19">
        <v>-8.2171690410335074</v>
      </c>
      <c r="H19">
        <v>-15.761502192853532</v>
      </c>
      <c r="I19">
        <v>3.8286527832058539</v>
      </c>
      <c r="K19" t="s">
        <v>50</v>
      </c>
      <c r="L19">
        <f t="shared" si="0"/>
        <v>11.082165372792163</v>
      </c>
      <c r="M19">
        <f t="shared" si="1"/>
        <v>3.0018761726078798</v>
      </c>
      <c r="N19">
        <f t="shared" si="2"/>
        <v>8.1056466302367944</v>
      </c>
      <c r="O19">
        <f t="shared" si="3"/>
        <v>3.6225779275484413</v>
      </c>
      <c r="P19">
        <f t="shared" si="4"/>
        <v>5.7073170731707323</v>
      </c>
      <c r="Q19">
        <f t="shared" si="5"/>
        <v>3.8363328718658671</v>
      </c>
      <c r="R19">
        <f t="shared" si="6"/>
        <v>2.0591372363119222</v>
      </c>
      <c r="S19">
        <f t="shared" si="7"/>
        <v>1.6053647632595001</v>
      </c>
    </row>
    <row r="20" spans="1:19" x14ac:dyDescent="0.25">
      <c r="A20" t="s">
        <v>21</v>
      </c>
      <c r="B20">
        <v>-46.341463414634148</v>
      </c>
      <c r="C20">
        <v>70.454545454545453</v>
      </c>
      <c r="D20">
        <v>48</v>
      </c>
      <c r="E20">
        <v>-22.522522522522522</v>
      </c>
      <c r="F20">
        <v>143.02325581395351</v>
      </c>
      <c r="G20">
        <v>6.6985645933014357</v>
      </c>
      <c r="H20">
        <v>8.9686098654708513</v>
      </c>
      <c r="I20">
        <v>7.4074074074074066</v>
      </c>
      <c r="K20" t="s">
        <v>15</v>
      </c>
      <c r="L20">
        <f t="shared" si="0"/>
        <v>-2.4444444444444446</v>
      </c>
      <c r="M20">
        <f t="shared" si="1"/>
        <v>7.0615034168564916</v>
      </c>
      <c r="N20">
        <f t="shared" si="2"/>
        <v>8.9361702127659584</v>
      </c>
      <c r="O20">
        <f t="shared" si="3"/>
        <v>43.75</v>
      </c>
      <c r="P20">
        <f t="shared" si="4"/>
        <v>5.2989130434782608</v>
      </c>
      <c r="Q20">
        <f t="shared" si="5"/>
        <v>163.09677419354838</v>
      </c>
      <c r="R20">
        <f t="shared" si="6"/>
        <v>10.250122609122119</v>
      </c>
      <c r="S20">
        <f t="shared" si="7"/>
        <v>4.4483985765124556</v>
      </c>
    </row>
    <row r="21" spans="1:19" x14ac:dyDescent="0.25">
      <c r="A21" t="s">
        <v>71</v>
      </c>
      <c r="B21">
        <v>-72.634331906799815</v>
      </c>
      <c r="C21">
        <v>-50.912250217202434</v>
      </c>
      <c r="D21">
        <v>1.9469026548672566</v>
      </c>
      <c r="E21">
        <v>0.52083333333333326</v>
      </c>
      <c r="F21">
        <v>-9.4991364421416229</v>
      </c>
      <c r="G21">
        <v>16.221374045801525</v>
      </c>
      <c r="H21">
        <v>19.868637110016422</v>
      </c>
      <c r="I21">
        <v>20.547945205479451</v>
      </c>
      <c r="K21" t="s">
        <v>39</v>
      </c>
      <c r="L21">
        <f t="shared" si="0"/>
        <v>3.7227722772277225</v>
      </c>
      <c r="M21">
        <f t="shared" si="1"/>
        <v>3.4984726995036275</v>
      </c>
      <c r="N21">
        <f t="shared" si="2"/>
        <v>0.30435785104911228</v>
      </c>
      <c r="O21">
        <f t="shared" si="3"/>
        <v>-3.5170796744977242</v>
      </c>
      <c r="P21">
        <f t="shared" si="4"/>
        <v>-2.7875726674926145</v>
      </c>
      <c r="Q21">
        <f t="shared" si="5"/>
        <v>2.8920150972991521</v>
      </c>
      <c r="R21">
        <f t="shared" si="6"/>
        <v>-8.2511552570149114</v>
      </c>
      <c r="S21">
        <f t="shared" si="7"/>
        <v>-3.3542759229451167</v>
      </c>
    </row>
    <row r="22" spans="1:19" x14ac:dyDescent="0.25">
      <c r="A22" t="s">
        <v>16</v>
      </c>
      <c r="B22">
        <v>-5.5170034456706363</v>
      </c>
      <c r="C22">
        <v>7.456898544025881</v>
      </c>
      <c r="D22">
        <v>13.215525436268456</v>
      </c>
      <c r="E22">
        <v>11.935669607382946</v>
      </c>
      <c r="F22">
        <v>-46.763916586776261</v>
      </c>
      <c r="G22">
        <v>-12.334056338279604</v>
      </c>
      <c r="H22">
        <v>10.909090909090908</v>
      </c>
      <c r="I22">
        <v>2.622950819672131</v>
      </c>
      <c r="K22" t="s">
        <v>9</v>
      </c>
      <c r="L22">
        <f t="shared" si="0"/>
        <v>-1.2905124972753914</v>
      </c>
      <c r="M22">
        <f t="shared" si="1"/>
        <v>-14.65304115426817</v>
      </c>
      <c r="N22">
        <f t="shared" si="2"/>
        <v>-0.12376402681199145</v>
      </c>
      <c r="O22">
        <f t="shared" si="3"/>
        <v>12.557799184388555</v>
      </c>
      <c r="P22">
        <f t="shared" si="4"/>
        <v>6.2354436242362272</v>
      </c>
      <c r="Q22">
        <f t="shared" si="5"/>
        <v>14.693408078258837</v>
      </c>
      <c r="R22">
        <f t="shared" si="6"/>
        <v>-5.3809484863709107</v>
      </c>
      <c r="S22">
        <f t="shared" si="7"/>
        <v>-12.371450151368284</v>
      </c>
    </row>
    <row r="23" spans="1:19" x14ac:dyDescent="0.25">
      <c r="A23" t="s">
        <v>72</v>
      </c>
      <c r="B23" t="s">
        <v>61</v>
      </c>
      <c r="C23" t="s">
        <v>61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 t="s">
        <v>61</v>
      </c>
      <c r="K23" t="s">
        <v>12</v>
      </c>
      <c r="L23">
        <f t="shared" si="0"/>
        <v>2.3505899271307045</v>
      </c>
      <c r="M23">
        <f t="shared" si="1"/>
        <v>27.801129176943213</v>
      </c>
      <c r="N23">
        <f t="shared" si="2"/>
        <v>11.851201639813439</v>
      </c>
      <c r="O23">
        <f t="shared" si="3"/>
        <v>-2.1471104358918724</v>
      </c>
      <c r="P23">
        <f t="shared" si="4"/>
        <v>50.524842649463821</v>
      </c>
      <c r="Q23">
        <f t="shared" si="5"/>
        <v>-5.1753420150708385</v>
      </c>
      <c r="R23">
        <f t="shared" si="6"/>
        <v>-3.3031027596432643</v>
      </c>
      <c r="S23">
        <f t="shared" si="7"/>
        <v>18.795221210838264</v>
      </c>
    </row>
    <row r="24" spans="1:19" x14ac:dyDescent="0.25">
      <c r="A24" t="s">
        <v>73</v>
      </c>
      <c r="B24">
        <v>24.161073825503358</v>
      </c>
      <c r="C24">
        <v>20</v>
      </c>
      <c r="D24">
        <v>0.72972972972973182</v>
      </c>
      <c r="E24">
        <v>-6.4171362132188507</v>
      </c>
      <c r="F24">
        <v>-13.508864146796009</v>
      </c>
      <c r="G24">
        <v>6.6298342541436464</v>
      </c>
      <c r="H24">
        <v>-50.777202072538863</v>
      </c>
      <c r="I24">
        <v>-54.736842105263165</v>
      </c>
      <c r="K24" t="s">
        <v>11</v>
      </c>
      <c r="L24">
        <f t="shared" si="0"/>
        <v>22.64946500344983</v>
      </c>
      <c r="M24">
        <f t="shared" si="1"/>
        <v>-7.5497812304670067</v>
      </c>
      <c r="N24">
        <f t="shared" si="2"/>
        <v>11.854928285120971</v>
      </c>
      <c r="O24">
        <f t="shared" si="3"/>
        <v>-17.185192860658489</v>
      </c>
      <c r="P24">
        <f t="shared" si="4"/>
        <v>-3.3821306056909375</v>
      </c>
      <c r="Q24">
        <f t="shared" si="5"/>
        <v>-8.2171690410335074</v>
      </c>
      <c r="R24">
        <f t="shared" si="6"/>
        <v>-15.761502192853532</v>
      </c>
      <c r="S24">
        <f t="shared" si="7"/>
        <v>3.8286527832058539</v>
      </c>
    </row>
    <row r="25" spans="1:19" x14ac:dyDescent="0.25">
      <c r="A25" t="s">
        <v>74</v>
      </c>
      <c r="B25">
        <v>0.8869179600887005</v>
      </c>
      <c r="C25">
        <v>51.78863689501987</v>
      </c>
      <c r="D25">
        <v>41.358595194085026</v>
      </c>
      <c r="E25">
        <v>27.863136101122372</v>
      </c>
      <c r="F25">
        <v>32.452701551048236</v>
      </c>
      <c r="G25">
        <v>21.618839274224683</v>
      </c>
      <c r="H25">
        <v>13.654639720664481</v>
      </c>
      <c r="I25">
        <v>35.22319973932877</v>
      </c>
      <c r="K25" t="s">
        <v>21</v>
      </c>
      <c r="L25">
        <f t="shared" si="0"/>
        <v>-46.341463414634148</v>
      </c>
      <c r="M25">
        <f t="shared" si="1"/>
        <v>70.454545454545453</v>
      </c>
      <c r="N25">
        <f t="shared" si="2"/>
        <v>48</v>
      </c>
      <c r="O25">
        <f t="shared" si="3"/>
        <v>-22.522522522522522</v>
      </c>
      <c r="P25">
        <f t="shared" si="4"/>
        <v>143.02325581395351</v>
      </c>
      <c r="Q25">
        <f t="shared" si="5"/>
        <v>6.6985645933014357</v>
      </c>
      <c r="R25">
        <f t="shared" si="6"/>
        <v>8.9686098654708513</v>
      </c>
      <c r="S25">
        <f t="shared" si="7"/>
        <v>7.4074074074074066</v>
      </c>
    </row>
    <row r="26" spans="1:19" x14ac:dyDescent="0.25">
      <c r="A26" t="s">
        <v>75</v>
      </c>
      <c r="B26">
        <v>2.5163675232708322</v>
      </c>
      <c r="C26">
        <v>-17.447215222869065</v>
      </c>
      <c r="D26">
        <v>-3.1996631933480657</v>
      </c>
      <c r="E26">
        <v>8.6604327498097184</v>
      </c>
      <c r="F26">
        <v>-4.5429529193976057</v>
      </c>
      <c r="G26">
        <v>1.1216520782011563</v>
      </c>
      <c r="H26">
        <v>2.625304514590789</v>
      </c>
      <c r="I26">
        <v>2.6692593247304179</v>
      </c>
      <c r="K26" t="s">
        <v>13</v>
      </c>
      <c r="L26">
        <f t="shared" si="0"/>
        <v>2.3358954885303915</v>
      </c>
      <c r="M26">
        <f t="shared" si="1"/>
        <v>-0.89539456026350184</v>
      </c>
      <c r="N26">
        <f t="shared" si="2"/>
        <v>14.992624051464478</v>
      </c>
      <c r="O26">
        <f t="shared" si="3"/>
        <v>3.875234066458713</v>
      </c>
      <c r="P26">
        <f t="shared" si="4"/>
        <v>6.238351127717964</v>
      </c>
      <c r="Q26">
        <f t="shared" si="5"/>
        <v>28.553982430460621</v>
      </c>
      <c r="R26">
        <f t="shared" si="6"/>
        <v>-2.5140240577791269</v>
      </c>
      <c r="S26">
        <f t="shared" si="7"/>
        <v>-1.4471783219161194</v>
      </c>
    </row>
    <row r="27" spans="1:19" x14ac:dyDescent="0.25">
      <c r="A27" t="s">
        <v>76</v>
      </c>
      <c r="B27">
        <v>-25</v>
      </c>
      <c r="C27">
        <v>33.333333333333329</v>
      </c>
      <c r="D27">
        <v>25</v>
      </c>
      <c r="E27">
        <v>40</v>
      </c>
      <c r="F27">
        <v>317.14285714285711</v>
      </c>
      <c r="G27">
        <v>11.643835616438356</v>
      </c>
      <c r="H27">
        <v>4.9079754601226995</v>
      </c>
      <c r="I27">
        <v>-2.9239766081871341</v>
      </c>
      <c r="K27" t="s">
        <v>16</v>
      </c>
      <c r="L27">
        <f t="shared" si="0"/>
        <v>-5.5170034456706363</v>
      </c>
      <c r="M27">
        <f t="shared" si="1"/>
        <v>7.456898544025881</v>
      </c>
      <c r="N27">
        <f t="shared" si="2"/>
        <v>13.215525436268456</v>
      </c>
      <c r="O27">
        <f t="shared" si="3"/>
        <v>11.935669607382946</v>
      </c>
      <c r="P27">
        <f t="shared" si="4"/>
        <v>-46.763916586776261</v>
      </c>
      <c r="Q27">
        <f t="shared" si="5"/>
        <v>-12.334056338279604</v>
      </c>
      <c r="R27">
        <f t="shared" si="6"/>
        <v>10.909090909090908</v>
      </c>
      <c r="S27">
        <f t="shared" si="7"/>
        <v>2.622950819672131</v>
      </c>
    </row>
    <row r="28" spans="1:19" x14ac:dyDescent="0.25">
      <c r="A28" t="s">
        <v>77</v>
      </c>
      <c r="B28">
        <v>-6.1017572701903378</v>
      </c>
      <c r="C28">
        <v>4.0904383625756244</v>
      </c>
      <c r="D28">
        <v>2.9084309760248104</v>
      </c>
      <c r="E28">
        <v>3.2596107897114921</v>
      </c>
      <c r="F28">
        <v>5.0274855127789291</v>
      </c>
      <c r="G28">
        <v>3.1339389336062986</v>
      </c>
      <c r="H28">
        <v>13.571929050538689</v>
      </c>
      <c r="I28">
        <v>7.3229042424636139</v>
      </c>
      <c r="K28" t="s">
        <v>36</v>
      </c>
      <c r="L28">
        <f t="shared" si="0"/>
        <v>11.295992989557362</v>
      </c>
      <c r="M28">
        <f t="shared" si="1"/>
        <v>11.060598959553827</v>
      </c>
      <c r="N28">
        <f t="shared" si="2"/>
        <v>12.044748280373044</v>
      </c>
      <c r="O28">
        <f t="shared" si="3"/>
        <v>28.826690756937793</v>
      </c>
      <c r="P28">
        <f t="shared" si="4"/>
        <v>4.8680153996968016</v>
      </c>
      <c r="Q28">
        <f t="shared" si="5"/>
        <v>7.3431504336831406</v>
      </c>
      <c r="R28">
        <f t="shared" si="6"/>
        <v>6.4517568506538447</v>
      </c>
      <c r="S28">
        <f t="shared" si="7"/>
        <v>-0.96709805540582028</v>
      </c>
    </row>
    <row r="29" spans="1:19" x14ac:dyDescent="0.25">
      <c r="A29" t="s">
        <v>78</v>
      </c>
      <c r="B29">
        <v>0</v>
      </c>
      <c r="C29">
        <v>100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 t="s">
        <v>17</v>
      </c>
      <c r="L29">
        <f t="shared" si="0"/>
        <v>1.4991929382093323</v>
      </c>
      <c r="M29">
        <f t="shared" si="1"/>
        <v>12.892889773814659</v>
      </c>
      <c r="N29">
        <f t="shared" si="2"/>
        <v>-18.790705454833585</v>
      </c>
      <c r="O29">
        <f t="shared" si="3"/>
        <v>2.7585720906658886</v>
      </c>
      <c r="P29">
        <f t="shared" si="4"/>
        <v>-0.42992374788005394</v>
      </c>
      <c r="Q29">
        <f t="shared" si="5"/>
        <v>11.518461909315597</v>
      </c>
      <c r="R29">
        <f t="shared" si="6"/>
        <v>4.5488016342430937</v>
      </c>
      <c r="S29">
        <f t="shared" si="7"/>
        <v>-20.21175080656155</v>
      </c>
    </row>
    <row r="30" spans="1:19" x14ac:dyDescent="0.25">
      <c r="A30" t="s">
        <v>55</v>
      </c>
      <c r="B30">
        <v>-3.6118965762760129</v>
      </c>
      <c r="C30">
        <v>72.219115055454125</v>
      </c>
      <c r="D30">
        <v>-23.652757352941173</v>
      </c>
      <c r="E30">
        <v>-25.103953733064632</v>
      </c>
      <c r="F30">
        <v>275.06062505692802</v>
      </c>
      <c r="G30">
        <v>36.22451355653223</v>
      </c>
      <c r="H30">
        <v>5.2514072168127068</v>
      </c>
      <c r="I30">
        <v>-66.312330557827792</v>
      </c>
      <c r="K30" t="s">
        <v>18</v>
      </c>
      <c r="L30">
        <f t="shared" si="0"/>
        <v>5.6388149574906103</v>
      </c>
      <c r="M30">
        <f t="shared" si="1"/>
        <v>-9.4510871965894458E-2</v>
      </c>
      <c r="N30">
        <f t="shared" si="2"/>
        <v>3.9183195222835456</v>
      </c>
      <c r="O30">
        <f t="shared" si="3"/>
        <v>7.9449148800844291</v>
      </c>
      <c r="P30">
        <f t="shared" si="4"/>
        <v>14.314650644063736</v>
      </c>
      <c r="Q30">
        <f t="shared" si="5"/>
        <v>-12.787804383776342</v>
      </c>
      <c r="R30">
        <f t="shared" si="6"/>
        <v>6.5428465646895999</v>
      </c>
      <c r="S30">
        <f t="shared" si="7"/>
        <v>-3.6372570557268737</v>
      </c>
    </row>
    <row r="31" spans="1:19" x14ac:dyDescent="0.25">
      <c r="A31" t="s">
        <v>79</v>
      </c>
      <c r="B31">
        <v>20.742066030666486</v>
      </c>
      <c r="C31">
        <v>4.4169757723783576</v>
      </c>
      <c r="D31">
        <v>0.45101526214112853</v>
      </c>
      <c r="E31">
        <v>2.0408185495686282</v>
      </c>
      <c r="F31">
        <v>-7.4574466684482204</v>
      </c>
      <c r="G31">
        <v>-0.23097444608236548</v>
      </c>
      <c r="H31">
        <v>-30.582265418426136</v>
      </c>
      <c r="I31">
        <v>10.240677364992958</v>
      </c>
      <c r="K31" t="s">
        <v>52</v>
      </c>
      <c r="L31">
        <f t="shared" si="0"/>
        <v>-5.0716357563505312</v>
      </c>
      <c r="M31">
        <f t="shared" si="1"/>
        <v>-0.15231481481482154</v>
      </c>
      <c r="N31">
        <f t="shared" si="2"/>
        <v>37.083798934488186</v>
      </c>
      <c r="O31">
        <f t="shared" si="3"/>
        <v>30.153898190427871</v>
      </c>
      <c r="P31">
        <f t="shared" si="4"/>
        <v>18.685031185031185</v>
      </c>
      <c r="Q31">
        <f t="shared" si="5"/>
        <v>38.723450843004159</v>
      </c>
      <c r="R31">
        <f t="shared" si="6"/>
        <v>19.403362007734195</v>
      </c>
      <c r="S31">
        <f t="shared" si="7"/>
        <v>1.294151861252115</v>
      </c>
    </row>
    <row r="32" spans="1:19" x14ac:dyDescent="0.25">
      <c r="A32" t="s">
        <v>80</v>
      </c>
      <c r="B32">
        <v>42.372881355932201</v>
      </c>
      <c r="C32">
        <v>24.107142857142858</v>
      </c>
      <c r="D32">
        <v>8.6330935251798557</v>
      </c>
      <c r="E32">
        <v>32.450331125827816</v>
      </c>
      <c r="F32">
        <v>16.833333333333332</v>
      </c>
      <c r="G32">
        <v>25.249643366619118</v>
      </c>
      <c r="H32">
        <v>1.8223234624145785</v>
      </c>
      <c r="I32">
        <v>32.774049217002236</v>
      </c>
      <c r="K32" t="s">
        <v>19</v>
      </c>
      <c r="L32">
        <f t="shared" si="0"/>
        <v>9.0634441087613293</v>
      </c>
      <c r="M32">
        <f t="shared" si="1"/>
        <v>13.130193905817174</v>
      </c>
      <c r="N32">
        <f t="shared" si="2"/>
        <v>16.625857002938297</v>
      </c>
      <c r="O32">
        <f t="shared" si="3"/>
        <v>2.6537896283854634</v>
      </c>
      <c r="P32">
        <f t="shared" si="4"/>
        <v>-17.090031496707152</v>
      </c>
      <c r="Q32">
        <f t="shared" si="5"/>
        <v>37.668360550594507</v>
      </c>
      <c r="R32">
        <f t="shared" si="6"/>
        <v>-1.6915137614678994</v>
      </c>
      <c r="S32">
        <f t="shared" si="7"/>
        <v>-10.382035578885963</v>
      </c>
    </row>
    <row r="33" spans="1:19" x14ac:dyDescent="0.25">
      <c r="A33" t="s">
        <v>81</v>
      </c>
      <c r="B33">
        <v>3.8251366120218582</v>
      </c>
      <c r="C33">
        <v>15.789473684210526</v>
      </c>
      <c r="D33">
        <v>1.1363636363636365</v>
      </c>
      <c r="E33">
        <v>11.235955056179774</v>
      </c>
      <c r="F33">
        <v>-1.0101010101010102</v>
      </c>
      <c r="G33">
        <v>10.204081632653061</v>
      </c>
      <c r="H33">
        <v>0</v>
      </c>
      <c r="I33">
        <v>13.888888888888889</v>
      </c>
      <c r="K33" t="s">
        <v>14</v>
      </c>
      <c r="L33">
        <f t="shared" si="0"/>
        <v>26.44367592592592</v>
      </c>
      <c r="M33">
        <f t="shared" si="1"/>
        <v>15.120039174227559</v>
      </c>
      <c r="N33">
        <f t="shared" si="2"/>
        <v>22.713229572454708</v>
      </c>
      <c r="O33">
        <f t="shared" si="3"/>
        <v>-28.342583149205286</v>
      </c>
      <c r="P33">
        <f t="shared" si="4"/>
        <v>43.445818164035828</v>
      </c>
      <c r="Q33">
        <f t="shared" si="5"/>
        <v>-17.243346422740117</v>
      </c>
      <c r="R33">
        <f t="shared" si="6"/>
        <v>9.9955284039583141</v>
      </c>
      <c r="S33">
        <f t="shared" si="7"/>
        <v>15.416464849055206</v>
      </c>
    </row>
    <row r="34" spans="1:19" x14ac:dyDescent="0.25">
      <c r="A34" t="s">
        <v>82</v>
      </c>
      <c r="B34" t="s">
        <v>61</v>
      </c>
      <c r="C34" t="s">
        <v>61</v>
      </c>
      <c r="D34" t="s">
        <v>61</v>
      </c>
      <c r="E34" t="s">
        <v>61</v>
      </c>
      <c r="F34">
        <v>340</v>
      </c>
      <c r="G34">
        <v>27.27272727272727</v>
      </c>
      <c r="H34">
        <v>25</v>
      </c>
      <c r="I34">
        <v>0</v>
      </c>
      <c r="K34" t="s">
        <v>23</v>
      </c>
      <c r="L34">
        <f t="shared" si="0"/>
        <v>5.1742843967502541</v>
      </c>
      <c r="M34">
        <f t="shared" si="1"/>
        <v>0.10545826409305893</v>
      </c>
      <c r="N34">
        <f t="shared" si="2"/>
        <v>-7.4220699122107003</v>
      </c>
      <c r="O34">
        <f t="shared" si="3"/>
        <v>-8.7050807377256909</v>
      </c>
      <c r="P34">
        <f t="shared" si="4"/>
        <v>-4.9763185367939213</v>
      </c>
      <c r="Q34">
        <f t="shared" si="5"/>
        <v>15.956435068632768</v>
      </c>
      <c r="R34">
        <f t="shared" si="6"/>
        <v>-10.533974259213677</v>
      </c>
      <c r="S34">
        <f t="shared" si="7"/>
        <v>-3.2225238855391498</v>
      </c>
    </row>
    <row r="35" spans="1:19" x14ac:dyDescent="0.25">
      <c r="A35" t="s">
        <v>83</v>
      </c>
      <c r="B35">
        <v>18.96551724137931</v>
      </c>
      <c r="C35">
        <v>20.289855072463769</v>
      </c>
      <c r="D35">
        <v>22.433734939759038</v>
      </c>
      <c r="E35">
        <v>21.002952174768748</v>
      </c>
      <c r="F35">
        <v>30.250448914797268</v>
      </c>
      <c r="G35">
        <v>-12.999565684641093</v>
      </c>
      <c r="H35">
        <v>-5.0954499784699303</v>
      </c>
      <c r="I35">
        <v>-5.0211736237144589</v>
      </c>
      <c r="K35" t="s">
        <v>24</v>
      </c>
      <c r="L35">
        <f t="shared" si="0"/>
        <v>-2.0737316561850636</v>
      </c>
      <c r="M35">
        <f t="shared" si="1"/>
        <v>9.6210342860688627</v>
      </c>
      <c r="N35">
        <f t="shared" si="2"/>
        <v>12.299173445448616</v>
      </c>
      <c r="O35">
        <f t="shared" si="3"/>
        <v>-12.95870300735786</v>
      </c>
      <c r="P35">
        <f t="shared" si="4"/>
        <v>-11.172159866501218</v>
      </c>
      <c r="Q35">
        <f t="shared" si="5"/>
        <v>1.1987851294608418</v>
      </c>
      <c r="R35">
        <f t="shared" si="6"/>
        <v>-1.3871954556129873</v>
      </c>
      <c r="S35">
        <f t="shared" si="7"/>
        <v>-10.970363272176352</v>
      </c>
    </row>
    <row r="36" spans="1:19" x14ac:dyDescent="0.25">
      <c r="A36" t="s">
        <v>84</v>
      </c>
      <c r="B36">
        <v>124.8081841432225</v>
      </c>
      <c r="C36">
        <v>13.765642775881684</v>
      </c>
      <c r="D36">
        <v>4.2799999999999994</v>
      </c>
      <c r="E36">
        <v>74.108170310701965</v>
      </c>
      <c r="F36">
        <v>-24.9063670411985</v>
      </c>
      <c r="G36">
        <v>20.17016282822356</v>
      </c>
      <c r="H36">
        <v>0.390625</v>
      </c>
      <c r="I36">
        <v>48.711089494163424</v>
      </c>
      <c r="K36" t="s">
        <v>53</v>
      </c>
      <c r="L36">
        <f t="shared" si="0"/>
        <v>2.2557414044890463</v>
      </c>
      <c r="M36">
        <f t="shared" si="1"/>
        <v>0.72438819241167962</v>
      </c>
      <c r="N36">
        <f t="shared" si="2"/>
        <v>-2.1493168173841335</v>
      </c>
      <c r="O36">
        <f t="shared" si="3"/>
        <v>-2.5373040348074274</v>
      </c>
      <c r="P36">
        <f t="shared" si="4"/>
        <v>-3.7771728037333259</v>
      </c>
      <c r="Q36">
        <f t="shared" si="5"/>
        <v>-0.76560798951715414</v>
      </c>
      <c r="R36">
        <f t="shared" si="6"/>
        <v>0.66960919453067391</v>
      </c>
      <c r="S36">
        <f t="shared" si="7"/>
        <v>3.9616014855293082</v>
      </c>
    </row>
    <row r="37" spans="1:19" x14ac:dyDescent="0.25">
      <c r="A37" t="s">
        <v>49</v>
      </c>
      <c r="B37">
        <v>7.22386403644472</v>
      </c>
      <c r="C37">
        <v>-4.8222920936896774</v>
      </c>
      <c r="D37">
        <v>-0.48507404174354846</v>
      </c>
      <c r="E37">
        <v>-1.5374271862508733</v>
      </c>
      <c r="F37">
        <v>-10.83881017412086</v>
      </c>
      <c r="G37">
        <v>12.731993921190874</v>
      </c>
      <c r="H37">
        <v>-10.958613295969599</v>
      </c>
      <c r="I37">
        <v>-12.86702032544555</v>
      </c>
      <c r="K37" t="s">
        <v>45</v>
      </c>
      <c r="L37">
        <f t="shared" si="0"/>
        <v>0.39221022195764699</v>
      </c>
      <c r="M37">
        <f t="shared" si="1"/>
        <v>-4.8348513187498234</v>
      </c>
      <c r="N37">
        <f t="shared" si="2"/>
        <v>-7.660961550101657</v>
      </c>
      <c r="O37">
        <f t="shared" si="3"/>
        <v>-0.7656863028620482</v>
      </c>
      <c r="P37">
        <f t="shared" si="4"/>
        <v>20.35530445577977</v>
      </c>
      <c r="Q37">
        <f t="shared" si="5"/>
        <v>11.833539149454785</v>
      </c>
      <c r="R37">
        <f t="shared" si="6"/>
        <v>-26.801983856626517</v>
      </c>
      <c r="S37">
        <f t="shared" si="7"/>
        <v>28.157598943030109</v>
      </c>
    </row>
    <row r="38" spans="1:19" x14ac:dyDescent="0.25">
      <c r="A38" t="s">
        <v>85</v>
      </c>
      <c r="B38">
        <v>0</v>
      </c>
      <c r="C38">
        <v>0</v>
      </c>
      <c r="D38">
        <v>0</v>
      </c>
      <c r="E38">
        <v>690</v>
      </c>
      <c r="F38">
        <v>3.79746835443038</v>
      </c>
      <c r="G38">
        <v>3.6585365853658534</v>
      </c>
      <c r="H38">
        <v>3.5294117647058822</v>
      </c>
      <c r="I38">
        <v>2.2727272727272729</v>
      </c>
      <c r="K38" t="s">
        <v>31</v>
      </c>
      <c r="L38">
        <f t="shared" si="0"/>
        <v>16.80475135447114</v>
      </c>
      <c r="M38">
        <f t="shared" si="1"/>
        <v>56.223600108388993</v>
      </c>
      <c r="N38">
        <f t="shared" si="2"/>
        <v>-14.028058361391688</v>
      </c>
      <c r="O38">
        <f t="shared" si="3"/>
        <v>6.8903681532759498</v>
      </c>
      <c r="P38">
        <f t="shared" si="4"/>
        <v>4.8450597888238658</v>
      </c>
      <c r="Q38">
        <f t="shared" si="5"/>
        <v>243.66088183092799</v>
      </c>
      <c r="R38">
        <f t="shared" si="6"/>
        <v>16.935233179461768</v>
      </c>
      <c r="S38">
        <f t="shared" si="7"/>
        <v>60.87228048744462</v>
      </c>
    </row>
    <row r="39" spans="1:19" x14ac:dyDescent="0.25">
      <c r="A39" t="s">
        <v>86</v>
      </c>
      <c r="B39">
        <v>0</v>
      </c>
      <c r="C39">
        <v>-2.5641025641025639</v>
      </c>
      <c r="D39">
        <v>7.3684210526315779</v>
      </c>
      <c r="E39">
        <v>17.156862745098039</v>
      </c>
      <c r="F39">
        <v>16.736401673640167</v>
      </c>
      <c r="G39">
        <v>14.695340501792115</v>
      </c>
      <c r="H39">
        <v>9.375</v>
      </c>
      <c r="I39">
        <v>11.428571428571429</v>
      </c>
      <c r="K39" t="s">
        <v>22</v>
      </c>
      <c r="L39">
        <f t="shared" si="0"/>
        <v>13.877168723647751</v>
      </c>
      <c r="M39">
        <f t="shared" si="1"/>
        <v>1.7828015361821155</v>
      </c>
      <c r="N39">
        <f t="shared" si="2"/>
        <v>-3.9048459939679017</v>
      </c>
      <c r="O39">
        <f t="shared" si="3"/>
        <v>4.4667173505604323</v>
      </c>
      <c r="P39">
        <f t="shared" si="4"/>
        <v>-3.7110437774225264</v>
      </c>
      <c r="Q39">
        <f t="shared" si="5"/>
        <v>-5.3108075337482825</v>
      </c>
      <c r="R39">
        <f t="shared" si="6"/>
        <v>-4.2958852654942747</v>
      </c>
      <c r="S39">
        <f t="shared" si="7"/>
        <v>0.477397647621295</v>
      </c>
    </row>
    <row r="40" spans="1:19" x14ac:dyDescent="0.25">
      <c r="A40" t="s">
        <v>87</v>
      </c>
      <c r="B40">
        <v>-38.961038961038966</v>
      </c>
      <c r="C40">
        <v>11.702127659574469</v>
      </c>
      <c r="D40">
        <v>0</v>
      </c>
      <c r="E40">
        <v>0</v>
      </c>
      <c r="F40">
        <v>0</v>
      </c>
      <c r="G40">
        <v>4.7619047619047619</v>
      </c>
      <c r="H40">
        <v>9.0909090909090917</v>
      </c>
      <c r="I40">
        <v>4.1666666666666661</v>
      </c>
      <c r="K40" t="s">
        <v>40</v>
      </c>
      <c r="L40">
        <f t="shared" si="0"/>
        <v>16.668695327242812</v>
      </c>
      <c r="M40">
        <f t="shared" si="1"/>
        <v>2.6413917382866647</v>
      </c>
      <c r="N40">
        <f t="shared" si="2"/>
        <v>13.318020321075696</v>
      </c>
      <c r="O40">
        <f t="shared" si="3"/>
        <v>2.9931672386247667</v>
      </c>
      <c r="P40">
        <f t="shared" si="4"/>
        <v>-3.0483894444955353</v>
      </c>
      <c r="Q40">
        <f t="shared" si="5"/>
        <v>-0.98665993255841411</v>
      </c>
      <c r="R40">
        <f t="shared" si="6"/>
        <v>-1.5073949869222512</v>
      </c>
      <c r="S40">
        <f t="shared" si="7"/>
        <v>0</v>
      </c>
    </row>
    <row r="41" spans="1:19" x14ac:dyDescent="0.25">
      <c r="A41" t="s">
        <v>88</v>
      </c>
      <c r="B41">
        <v>-15.23569975130002</v>
      </c>
      <c r="C41">
        <v>-8.1652385556629898</v>
      </c>
      <c r="D41">
        <v>6.4914318907929038</v>
      </c>
      <c r="E41">
        <v>-6.0275467066684758</v>
      </c>
      <c r="F41">
        <v>-19.650994050210429</v>
      </c>
      <c r="G41">
        <v>3.3981415425738564</v>
      </c>
      <c r="H41">
        <v>3.9301310043668125</v>
      </c>
      <c r="I41" t="e">
        <v>#VALUE!</v>
      </c>
      <c r="K41" t="s">
        <v>33</v>
      </c>
      <c r="L41">
        <f t="shared" si="0"/>
        <v>0</v>
      </c>
      <c r="M41">
        <f t="shared" si="1"/>
        <v>0</v>
      </c>
      <c r="N41">
        <f t="shared" si="2"/>
        <v>-50</v>
      </c>
      <c r="O41">
        <f t="shared" si="3"/>
        <v>0</v>
      </c>
      <c r="P41">
        <f t="shared" si="4"/>
        <v>100</v>
      </c>
      <c r="Q41">
        <f t="shared" si="5"/>
        <v>0</v>
      </c>
      <c r="R41">
        <f t="shared" si="6"/>
        <v>50</v>
      </c>
      <c r="S41">
        <f t="shared" si="7"/>
        <v>0</v>
      </c>
    </row>
    <row r="42" spans="1:19" x14ac:dyDescent="0.25">
      <c r="A42" t="s">
        <v>89</v>
      </c>
      <c r="B42">
        <v>-0.72087522288043782</v>
      </c>
      <c r="C42">
        <v>16.153447377768387</v>
      </c>
      <c r="D42">
        <v>5.5327438914166978</v>
      </c>
      <c r="E42">
        <v>9.3267076878989439</v>
      </c>
      <c r="F42">
        <v>6.9777423116360611</v>
      </c>
      <c r="G42">
        <v>-4.116013034993351</v>
      </c>
      <c r="H42">
        <v>5.5855824650853467</v>
      </c>
      <c r="I42">
        <v>-1.3929084361174662</v>
      </c>
      <c r="K42" t="s">
        <v>26</v>
      </c>
      <c r="L42">
        <f t="shared" si="0"/>
        <v>14.268142681426815</v>
      </c>
      <c r="M42">
        <f t="shared" si="1"/>
        <v>10.010764262648008</v>
      </c>
      <c r="N42">
        <f t="shared" si="2"/>
        <v>7.3385518590998036</v>
      </c>
      <c r="O42">
        <f t="shared" si="3"/>
        <v>-2.096627164995442</v>
      </c>
      <c r="P42">
        <f t="shared" si="4"/>
        <v>-17.597765363128492</v>
      </c>
      <c r="Q42">
        <f t="shared" si="5"/>
        <v>-3.050847457627119</v>
      </c>
      <c r="R42">
        <f t="shared" si="6"/>
        <v>26.689976689976692</v>
      </c>
      <c r="S42">
        <f t="shared" si="7"/>
        <v>25.482980680772769</v>
      </c>
    </row>
    <row r="43" spans="1:19" x14ac:dyDescent="0.25">
      <c r="A43" t="s">
        <v>90</v>
      </c>
      <c r="B43">
        <v>4.9679785561404</v>
      </c>
      <c r="C43">
        <v>3.2736778613807442</v>
      </c>
      <c r="D43">
        <v>2.7604419907953166</v>
      </c>
      <c r="E43">
        <v>3.4607962565877148</v>
      </c>
      <c r="F43">
        <v>3.010177312565788</v>
      </c>
      <c r="G43">
        <v>3.2940436448984531</v>
      </c>
      <c r="H43">
        <v>3.6119652118169374</v>
      </c>
      <c r="I43">
        <v>3.7674045703904548</v>
      </c>
      <c r="K43" t="s">
        <v>20</v>
      </c>
      <c r="L43">
        <f t="shared" si="0"/>
        <v>6.9474589498778885</v>
      </c>
      <c r="M43">
        <f t="shared" si="1"/>
        <v>5.8926624897778774</v>
      </c>
      <c r="N43">
        <f t="shared" si="2"/>
        <v>3.0905090507336497</v>
      </c>
      <c r="O43">
        <f t="shared" si="3"/>
        <v>3.4622093554979472</v>
      </c>
      <c r="P43">
        <f t="shared" si="4"/>
        <v>3.8354226936676312</v>
      </c>
      <c r="Q43">
        <f t="shared" si="5"/>
        <v>2.1255247158176278</v>
      </c>
      <c r="R43">
        <f t="shared" si="6"/>
        <v>3.500247235415479</v>
      </c>
      <c r="S43">
        <f t="shared" si="7"/>
        <v>4.4300277899502953</v>
      </c>
    </row>
    <row r="44" spans="1:19" x14ac:dyDescent="0.25">
      <c r="A44" t="s">
        <v>36</v>
      </c>
      <c r="B44">
        <v>11.295992989557362</v>
      </c>
      <c r="C44">
        <v>11.060598959553827</v>
      </c>
      <c r="D44">
        <v>12.044748280373044</v>
      </c>
      <c r="E44">
        <v>28.826690756937793</v>
      </c>
      <c r="F44">
        <v>4.8680153996968016</v>
      </c>
      <c r="G44">
        <v>7.3431504336831406</v>
      </c>
      <c r="H44">
        <v>6.4517568506538447</v>
      </c>
      <c r="I44">
        <v>-0.96709805540582028</v>
      </c>
      <c r="K44" t="s">
        <v>54</v>
      </c>
      <c r="L44">
        <f t="shared" si="0"/>
        <v>-21.312977099236644</v>
      </c>
      <c r="M44">
        <f t="shared" si="1"/>
        <v>-0.56266977105160876</v>
      </c>
      <c r="N44">
        <f t="shared" si="2"/>
        <v>1.292682926829271</v>
      </c>
      <c r="O44">
        <f t="shared" si="3"/>
        <v>125.30219118709363</v>
      </c>
      <c r="P44">
        <f t="shared" si="4"/>
        <v>-1.2482900136798853</v>
      </c>
      <c r="Q44">
        <f t="shared" si="5"/>
        <v>0</v>
      </c>
      <c r="R44">
        <f t="shared" si="6"/>
        <v>0.4329004329004329</v>
      </c>
      <c r="S44">
        <f t="shared" si="7"/>
        <v>0</v>
      </c>
    </row>
    <row r="45" spans="1:19" x14ac:dyDescent="0.25">
      <c r="A45" t="s">
        <v>91</v>
      </c>
      <c r="B45" t="s">
        <v>61</v>
      </c>
      <c r="C45" t="s">
        <v>61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 t="s">
        <v>61</v>
      </c>
      <c r="K45" t="s">
        <v>46</v>
      </c>
      <c r="L45">
        <f t="shared" si="0"/>
        <v>10.899888755342278</v>
      </c>
      <c r="M45">
        <f t="shared" si="1"/>
        <v>25.575187444197027</v>
      </c>
      <c r="N45">
        <f t="shared" si="2"/>
        <v>-2.396391171699892</v>
      </c>
      <c r="O45">
        <f t="shared" si="3"/>
        <v>5.3076879193600055</v>
      </c>
      <c r="P45">
        <f t="shared" si="4"/>
        <v>-2.731852882836324</v>
      </c>
      <c r="Q45">
        <f t="shared" si="5"/>
        <v>4.3411484624652532</v>
      </c>
      <c r="R45">
        <f t="shared" si="6"/>
        <v>-5.026663826923639</v>
      </c>
      <c r="S45">
        <f t="shared" si="7"/>
        <v>-0.37428586641510386</v>
      </c>
    </row>
    <row r="46" spans="1:19" x14ac:dyDescent="0.25">
      <c r="A46" t="s">
        <v>92</v>
      </c>
      <c r="B46">
        <v>7.2830063185899574</v>
      </c>
      <c r="C46">
        <v>10.97334159950403</v>
      </c>
      <c r="D46">
        <v>8.3798882681564244</v>
      </c>
      <c r="E46">
        <v>10.56701030927835</v>
      </c>
      <c r="F46">
        <v>9.3240093240093245</v>
      </c>
      <c r="G46">
        <v>8.635394456289978</v>
      </c>
      <c r="H46">
        <v>3.9254170755642788</v>
      </c>
      <c r="I46">
        <v>4.0604343720491025</v>
      </c>
      <c r="K46" t="s">
        <v>27</v>
      </c>
      <c r="L46">
        <f t="shared" si="0"/>
        <v>2.1729166666666666</v>
      </c>
      <c r="M46">
        <f t="shared" si="1"/>
        <v>14.505841812287173</v>
      </c>
      <c r="N46">
        <f t="shared" si="2"/>
        <v>17.285258676106853</v>
      </c>
      <c r="O46">
        <f t="shared" si="3"/>
        <v>8.1804931373739826</v>
      </c>
      <c r="P46">
        <f t="shared" si="4"/>
        <v>7.8173244259810248</v>
      </c>
      <c r="Q46">
        <f t="shared" si="5"/>
        <v>9.7224753325870186</v>
      </c>
      <c r="R46">
        <f t="shared" si="6"/>
        <v>3.6706172663748204</v>
      </c>
      <c r="S46">
        <f t="shared" si="7"/>
        <v>6.1280540138467696</v>
      </c>
    </row>
    <row r="47" spans="1:19" x14ac:dyDescent="0.25">
      <c r="A47" t="s">
        <v>93</v>
      </c>
      <c r="B47">
        <v>11.053540587219343</v>
      </c>
      <c r="C47">
        <v>7.6205287713841372</v>
      </c>
      <c r="D47">
        <v>-7.5144508670520231</v>
      </c>
      <c r="E47">
        <v>14.21875</v>
      </c>
      <c r="F47">
        <v>23.119015047879618</v>
      </c>
      <c r="G47">
        <v>1.2222222222222223</v>
      </c>
      <c r="H47">
        <v>7.2008781558726698</v>
      </c>
      <c r="I47">
        <v>69.670284661069019</v>
      </c>
      <c r="K47" t="s">
        <v>34</v>
      </c>
      <c r="L47">
        <f t="shared" si="0"/>
        <v>17.894736842105264</v>
      </c>
      <c r="M47">
        <f t="shared" si="1"/>
        <v>8.9285714285714288</v>
      </c>
      <c r="N47">
        <f t="shared" si="2"/>
        <v>9.0163934426229506</v>
      </c>
      <c r="O47">
        <f t="shared" si="3"/>
        <v>45.864661654135332</v>
      </c>
      <c r="P47">
        <f t="shared" si="4"/>
        <v>5.9278350515463911</v>
      </c>
      <c r="Q47">
        <f t="shared" si="5"/>
        <v>4.3795620437956204</v>
      </c>
      <c r="R47">
        <f t="shared" si="6"/>
        <v>20.372960372960371</v>
      </c>
      <c r="S47">
        <f t="shared" si="7"/>
        <v>5.3214562354763784</v>
      </c>
    </row>
    <row r="48" spans="1:19" x14ac:dyDescent="0.25">
      <c r="A48" t="s">
        <v>94</v>
      </c>
      <c r="B48">
        <v>-5.7195611112290159</v>
      </c>
      <c r="C48">
        <v>-4.8982531964703764</v>
      </c>
      <c r="D48">
        <v>3.9339140314334409</v>
      </c>
      <c r="E48">
        <v>0.41448417217034839</v>
      </c>
      <c r="F48">
        <v>-26.204526898303541</v>
      </c>
      <c r="G48">
        <v>6.395311313883199</v>
      </c>
      <c r="H48">
        <v>-3.1023027950131232</v>
      </c>
      <c r="I48">
        <v>-1.8170912826481134</v>
      </c>
      <c r="K48" t="s">
        <v>41</v>
      </c>
      <c r="L48">
        <f t="shared" si="0"/>
        <v>15.026956124789811</v>
      </c>
      <c r="M48">
        <f t="shared" si="1"/>
        <v>3.7068387381979209</v>
      </c>
      <c r="N48">
        <f t="shared" si="2"/>
        <v>6.4983881788479652</v>
      </c>
      <c r="O48">
        <f t="shared" si="3"/>
        <v>4.187456506215347</v>
      </c>
      <c r="P48">
        <f t="shared" si="4"/>
        <v>4.8826645653754062</v>
      </c>
      <c r="Q48">
        <f t="shared" si="5"/>
        <v>-0.3669094693028096</v>
      </c>
      <c r="R48">
        <f t="shared" si="6"/>
        <v>14.479348786494464</v>
      </c>
      <c r="S48">
        <f t="shared" si="7"/>
        <v>12.516079590552042</v>
      </c>
    </row>
    <row r="49" spans="1:19" x14ac:dyDescent="0.25">
      <c r="A49" t="s">
        <v>95</v>
      </c>
      <c r="B49">
        <v>9.8000000000000007</v>
      </c>
      <c r="C49">
        <v>0.63752276867030966</v>
      </c>
      <c r="D49">
        <v>2.9411764705882351</v>
      </c>
      <c r="E49">
        <v>0.65934065934065933</v>
      </c>
      <c r="F49">
        <v>23.362445414847162</v>
      </c>
      <c r="G49">
        <v>26.902654867256636</v>
      </c>
      <c r="H49">
        <v>10.976290097629009</v>
      </c>
      <c r="I49">
        <v>10.669850446148045</v>
      </c>
      <c r="K49" t="s">
        <v>55</v>
      </c>
      <c r="L49">
        <f t="shared" si="0"/>
        <v>-3.6118965762760129</v>
      </c>
      <c r="M49">
        <f t="shared" si="1"/>
        <v>72.219115055454125</v>
      </c>
      <c r="N49">
        <f t="shared" si="2"/>
        <v>-23.652757352941173</v>
      </c>
      <c r="O49">
        <f t="shared" si="3"/>
        <v>-25.103953733064632</v>
      </c>
      <c r="P49">
        <f t="shared" si="4"/>
        <v>275.06062505692802</v>
      </c>
      <c r="Q49">
        <f t="shared" si="5"/>
        <v>36.22451355653223</v>
      </c>
      <c r="R49">
        <f t="shared" si="6"/>
        <v>5.2514072168127068</v>
      </c>
      <c r="S49">
        <f t="shared" si="7"/>
        <v>-66.312330557827792</v>
      </c>
    </row>
    <row r="50" spans="1:19" x14ac:dyDescent="0.25">
      <c r="A50" t="s">
        <v>13</v>
      </c>
      <c r="B50">
        <v>2.3358954885303915</v>
      </c>
      <c r="C50">
        <v>-0.89539456026350184</v>
      </c>
      <c r="D50">
        <v>14.992624051464478</v>
      </c>
      <c r="E50">
        <v>3.875234066458713</v>
      </c>
      <c r="F50">
        <v>6.238351127717964</v>
      </c>
      <c r="G50">
        <v>28.553982430460621</v>
      </c>
      <c r="H50">
        <v>-2.5140240577791269</v>
      </c>
      <c r="I50">
        <v>-1.4471783219161194</v>
      </c>
    </row>
    <row r="51" spans="1:19" x14ac:dyDescent="0.25">
      <c r="A51" t="s">
        <v>96</v>
      </c>
      <c r="B51">
        <v>-8.9562016471175436</v>
      </c>
      <c r="C51">
        <v>6.9384958026383421</v>
      </c>
      <c r="D51">
        <v>-8.2729894264658768</v>
      </c>
      <c r="E51">
        <v>-5.0936146430068492</v>
      </c>
      <c r="F51">
        <v>-3.4221819814647123</v>
      </c>
      <c r="G51">
        <v>-12.522484756097565</v>
      </c>
      <c r="H51">
        <v>-32.289220662103936</v>
      </c>
      <c r="I51">
        <v>-17.49137842289479</v>
      </c>
    </row>
    <row r="52" spans="1:19" x14ac:dyDescent="0.25">
      <c r="A52" t="s">
        <v>97</v>
      </c>
      <c r="B52">
        <v>0</v>
      </c>
      <c r="C52">
        <v>0</v>
      </c>
      <c r="D52">
        <v>0</v>
      </c>
      <c r="E52">
        <v>-100</v>
      </c>
      <c r="F52" t="s">
        <v>61</v>
      </c>
      <c r="G52" t="s">
        <v>61</v>
      </c>
      <c r="H52" t="s">
        <v>61</v>
      </c>
      <c r="I52" t="s">
        <v>61</v>
      </c>
    </row>
    <row r="53" spans="1:19" x14ac:dyDescent="0.25">
      <c r="A53" t="s">
        <v>25</v>
      </c>
      <c r="B53">
        <v>13.727481983876984</v>
      </c>
      <c r="C53">
        <v>9.8169094140680127</v>
      </c>
      <c r="D53">
        <v>0.98629214129323883</v>
      </c>
      <c r="E53">
        <v>9.8319489528334358</v>
      </c>
      <c r="F53">
        <v>-9.1560023999229632</v>
      </c>
      <c r="G53">
        <v>7.0714538091484744</v>
      </c>
      <c r="H53">
        <v>-3.4720318417659235</v>
      </c>
      <c r="I53">
        <v>-25.050621926525888</v>
      </c>
    </row>
    <row r="54" spans="1:19" x14ac:dyDescent="0.25">
      <c r="A54" t="s">
        <v>39</v>
      </c>
      <c r="B54">
        <v>3.7227722772277225</v>
      </c>
      <c r="C54">
        <v>3.4984726995036275</v>
      </c>
      <c r="D54">
        <v>0.30435785104911228</v>
      </c>
      <c r="E54">
        <v>-3.5170796744977242</v>
      </c>
      <c r="F54">
        <v>-2.7875726674926145</v>
      </c>
      <c r="G54">
        <v>2.8920150972991521</v>
      </c>
      <c r="H54">
        <v>-8.2511552570149114</v>
      </c>
      <c r="I54">
        <v>-3.3542759229451167</v>
      </c>
    </row>
    <row r="55" spans="1:19" x14ac:dyDescent="0.25">
      <c r="A55" t="s">
        <v>10</v>
      </c>
      <c r="B55">
        <v>1.3140322360295287</v>
      </c>
      <c r="C55">
        <v>3.1950024767461063</v>
      </c>
      <c r="D55">
        <v>-2.7894077175391345</v>
      </c>
      <c r="E55">
        <v>10.336488080542065</v>
      </c>
      <c r="F55">
        <v>5.9870276592105229</v>
      </c>
      <c r="G55">
        <v>-4.7732764080790142</v>
      </c>
      <c r="H55">
        <v>-6.5822211054781228</v>
      </c>
      <c r="I55">
        <v>-12.622685392725094</v>
      </c>
    </row>
    <row r="56" spans="1:19" x14ac:dyDescent="0.25">
      <c r="A56" t="s">
        <v>98</v>
      </c>
      <c r="B56" t="s">
        <v>61</v>
      </c>
      <c r="C56" t="s">
        <v>61</v>
      </c>
      <c r="D56" t="s">
        <v>61</v>
      </c>
      <c r="E56" t="s">
        <v>61</v>
      </c>
      <c r="F56" t="s">
        <v>61</v>
      </c>
      <c r="G56" t="s">
        <v>61</v>
      </c>
      <c r="H56" t="s">
        <v>61</v>
      </c>
      <c r="I56" t="s">
        <v>61</v>
      </c>
    </row>
    <row r="57" spans="1:19" x14ac:dyDescent="0.25">
      <c r="A57" t="s">
        <v>99</v>
      </c>
      <c r="B57">
        <v>0</v>
      </c>
      <c r="C57">
        <v>-100</v>
      </c>
      <c r="D57" t="s">
        <v>61</v>
      </c>
      <c r="E57" t="s">
        <v>61</v>
      </c>
      <c r="F57" t="s">
        <v>61</v>
      </c>
      <c r="G57">
        <v>1399.9999999999998</v>
      </c>
      <c r="H57">
        <v>66.666666666666657</v>
      </c>
      <c r="I57">
        <v>-20</v>
      </c>
    </row>
    <row r="58" spans="1:19" x14ac:dyDescent="0.25">
      <c r="A58" t="s">
        <v>100</v>
      </c>
      <c r="B58">
        <v>-8.5152838427947604</v>
      </c>
      <c r="C58">
        <v>25.966587112171837</v>
      </c>
      <c r="D58">
        <v>14.020462296324364</v>
      </c>
      <c r="E58">
        <v>5.1844466600199404</v>
      </c>
      <c r="F58">
        <v>8.3728278041074251</v>
      </c>
      <c r="G58">
        <v>9.3294460641399422</v>
      </c>
      <c r="H58">
        <v>0</v>
      </c>
      <c r="I58">
        <v>1.8666666666666669</v>
      </c>
    </row>
    <row r="59" spans="1:19" x14ac:dyDescent="0.25">
      <c r="A59" t="s">
        <v>101</v>
      </c>
      <c r="B59">
        <v>5.7750150907884237</v>
      </c>
      <c r="C59">
        <v>7.4457354784154841</v>
      </c>
      <c r="D59">
        <v>19.88536200657725</v>
      </c>
      <c r="E59">
        <v>19.674950554647864</v>
      </c>
      <c r="F59">
        <v>11.315448731766912</v>
      </c>
      <c r="G59">
        <v>16.724716625361939</v>
      </c>
      <c r="H59">
        <v>24.212246806286249</v>
      </c>
      <c r="I59">
        <v>9.8873779215135951</v>
      </c>
    </row>
    <row r="60" spans="1:19" x14ac:dyDescent="0.25">
      <c r="A60" t="s">
        <v>40</v>
      </c>
      <c r="B60">
        <v>16.668695327242812</v>
      </c>
      <c r="C60">
        <v>2.6413917382866647</v>
      </c>
      <c r="D60">
        <v>13.318020321075696</v>
      </c>
      <c r="E60">
        <v>2.9931672386247667</v>
      </c>
      <c r="F60">
        <v>-3.0483894444955353</v>
      </c>
      <c r="G60">
        <v>-0.98665993255841411</v>
      </c>
      <c r="H60">
        <v>-1.5073949869222512</v>
      </c>
      <c r="I60">
        <v>0</v>
      </c>
    </row>
    <row r="61" spans="1:19" x14ac:dyDescent="0.25">
      <c r="A61" t="s">
        <v>102</v>
      </c>
      <c r="B61">
        <v>17.989354428708936</v>
      </c>
      <c r="C61">
        <v>38.613292641232412</v>
      </c>
      <c r="D61">
        <v>-1.0374849355663898</v>
      </c>
      <c r="E61">
        <v>-8.8806969895228001</v>
      </c>
      <c r="F61">
        <v>-15.748613492490479</v>
      </c>
      <c r="G61">
        <v>52.170589639532118</v>
      </c>
      <c r="H61">
        <v>1.3346142852705423</v>
      </c>
      <c r="I61">
        <v>3.8625280594473255</v>
      </c>
    </row>
    <row r="62" spans="1:19" x14ac:dyDescent="0.25">
      <c r="A62" t="s">
        <v>103</v>
      </c>
      <c r="B62">
        <v>0</v>
      </c>
      <c r="C62">
        <v>0</v>
      </c>
      <c r="D62">
        <v>0</v>
      </c>
      <c r="E62">
        <v>12.5</v>
      </c>
      <c r="F62">
        <v>0</v>
      </c>
      <c r="G62">
        <v>0</v>
      </c>
      <c r="H62">
        <v>5.5555555555555554</v>
      </c>
      <c r="I62">
        <v>0</v>
      </c>
    </row>
    <row r="63" spans="1:19" x14ac:dyDescent="0.25">
      <c r="A63" t="s">
        <v>104</v>
      </c>
      <c r="B63" t="s">
        <v>61</v>
      </c>
      <c r="C63">
        <v>0</v>
      </c>
      <c r="D63">
        <v>0</v>
      </c>
      <c r="E63">
        <v>33.333333333333329</v>
      </c>
      <c r="F63">
        <v>0</v>
      </c>
      <c r="G63">
        <v>0</v>
      </c>
      <c r="H63">
        <v>0</v>
      </c>
      <c r="I63">
        <v>0</v>
      </c>
    </row>
    <row r="64" spans="1:19" x14ac:dyDescent="0.25">
      <c r="A64" t="s">
        <v>1</v>
      </c>
      <c r="B64">
        <v>8.6431701514961681</v>
      </c>
      <c r="C64">
        <v>0.31438241947696649</v>
      </c>
      <c r="D64">
        <v>8.4093371213644179</v>
      </c>
      <c r="E64">
        <v>12.537341269799226</v>
      </c>
      <c r="F64">
        <v>2.6534622885182446</v>
      </c>
      <c r="G64">
        <v>-22.078613034903459</v>
      </c>
      <c r="H64">
        <v>-5.7261083511878228</v>
      </c>
      <c r="I64">
        <v>14.690210896594619</v>
      </c>
    </row>
    <row r="65" spans="1:9" x14ac:dyDescent="0.25">
      <c r="A65" t="s">
        <v>105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">
        <v>106</v>
      </c>
      <c r="B66">
        <v>4.972375690607735</v>
      </c>
      <c r="C66">
        <v>32.631578947368425</v>
      </c>
      <c r="D66">
        <v>30.952380952380953</v>
      </c>
      <c r="E66">
        <v>160.60606060606059</v>
      </c>
      <c r="F66">
        <v>24.186046511627907</v>
      </c>
      <c r="G66">
        <v>38.576779026217231</v>
      </c>
      <c r="H66">
        <v>44.594594594594597</v>
      </c>
      <c r="I66">
        <v>156.07476635514018</v>
      </c>
    </row>
    <row r="67" spans="1:9" x14ac:dyDescent="0.25">
      <c r="A67" t="s">
        <v>107</v>
      </c>
      <c r="B67">
        <v>3.3626057403686342</v>
      </c>
      <c r="C67">
        <v>4.2396169584678338</v>
      </c>
      <c r="D67">
        <v>-9.0841065549236752</v>
      </c>
      <c r="E67">
        <v>20.3988603988604</v>
      </c>
      <c r="F67">
        <v>-6.3416942735447233</v>
      </c>
      <c r="G67">
        <v>29.98708663185672</v>
      </c>
      <c r="H67">
        <v>-6.0599516240497575</v>
      </c>
      <c r="I67">
        <v>-9.65561635017702</v>
      </c>
    </row>
    <row r="68" spans="1:9" x14ac:dyDescent="0.25">
      <c r="A68" t="s">
        <v>108</v>
      </c>
      <c r="B68">
        <v>-73.110465116279073</v>
      </c>
      <c r="C68">
        <v>32.432432432432435</v>
      </c>
      <c r="D68">
        <v>22.448979591836736</v>
      </c>
      <c r="E68">
        <v>1.6666666666666667</v>
      </c>
      <c r="F68">
        <v>5.6721311475409877</v>
      </c>
      <c r="G68">
        <v>-36.053366428793055</v>
      </c>
      <c r="H68">
        <v>2.3774866569626423</v>
      </c>
      <c r="I68">
        <v>157.01421800947867</v>
      </c>
    </row>
    <row r="69" spans="1:9" x14ac:dyDescent="0.25">
      <c r="A69" t="s">
        <v>8</v>
      </c>
      <c r="B69">
        <v>-3.1244874638704037</v>
      </c>
      <c r="C69">
        <v>1.2123781498552928</v>
      </c>
      <c r="D69">
        <v>-2.9012332983704483</v>
      </c>
      <c r="E69">
        <v>7.9929679391684267</v>
      </c>
      <c r="F69">
        <v>-1.5880176257534726</v>
      </c>
      <c r="G69">
        <v>-4.3413561506420697</v>
      </c>
      <c r="H69">
        <v>13.064433240273907</v>
      </c>
      <c r="I69">
        <v>-6.8302151026374949</v>
      </c>
    </row>
    <row r="70" spans="1:9" x14ac:dyDescent="0.25">
      <c r="A70" t="s">
        <v>109</v>
      </c>
      <c r="B70">
        <v>10.564998659341805</v>
      </c>
      <c r="C70">
        <v>4.4266511194236502</v>
      </c>
      <c r="D70">
        <v>-0.59421817387280407</v>
      </c>
      <c r="E70">
        <v>4.6330513340048176</v>
      </c>
      <c r="F70">
        <v>-2.6002506176232791</v>
      </c>
      <c r="G70">
        <v>1.1942005903342008</v>
      </c>
      <c r="H70">
        <v>3.7660884469896674</v>
      </c>
      <c r="I70">
        <v>-7.0103784158886713</v>
      </c>
    </row>
    <row r="71" spans="1:9" x14ac:dyDescent="0.25">
      <c r="A71" t="s">
        <v>110</v>
      </c>
      <c r="B71">
        <v>-29.545478285575811</v>
      </c>
      <c r="C71">
        <v>28.51354326587709</v>
      </c>
      <c r="D71">
        <v>7.2555985678464499</v>
      </c>
      <c r="E71">
        <v>1.5052729460142205</v>
      </c>
      <c r="F71">
        <v>-21.843385507786962</v>
      </c>
      <c r="G71">
        <v>6.037351613465237</v>
      </c>
      <c r="H71">
        <v>12.32688158294309</v>
      </c>
      <c r="I71">
        <v>-29.054763575639917</v>
      </c>
    </row>
    <row r="72" spans="1:9" x14ac:dyDescent="0.25">
      <c r="A72" t="s">
        <v>44</v>
      </c>
      <c r="B72">
        <v>11.111111111111111</v>
      </c>
      <c r="C72">
        <v>0</v>
      </c>
      <c r="D72">
        <v>24</v>
      </c>
      <c r="E72">
        <v>0</v>
      </c>
      <c r="F72">
        <v>16.129032258064516</v>
      </c>
      <c r="G72">
        <v>0</v>
      </c>
      <c r="H72">
        <v>20.833333333333336</v>
      </c>
      <c r="I72">
        <v>3.4482758620689653</v>
      </c>
    </row>
    <row r="73" spans="1:9" x14ac:dyDescent="0.25">
      <c r="A73" t="s">
        <v>111</v>
      </c>
      <c r="B73">
        <v>21.276595744680851</v>
      </c>
      <c r="C73">
        <v>0</v>
      </c>
      <c r="D73">
        <v>-3.5087719298245612</v>
      </c>
      <c r="E73">
        <v>0</v>
      </c>
      <c r="F73">
        <v>18.181818181818183</v>
      </c>
      <c r="G73">
        <v>3.0769230769230771</v>
      </c>
      <c r="H73">
        <v>2.9850746268656714</v>
      </c>
      <c r="I73">
        <v>0</v>
      </c>
    </row>
    <row r="74" spans="1:9" x14ac:dyDescent="0.25">
      <c r="A74" t="s">
        <v>19</v>
      </c>
      <c r="B74">
        <v>9.0634441087613293</v>
      </c>
      <c r="C74">
        <v>13.130193905817174</v>
      </c>
      <c r="D74">
        <v>16.625857002938297</v>
      </c>
      <c r="E74">
        <v>2.6537896283854634</v>
      </c>
      <c r="F74">
        <v>-17.090031496707152</v>
      </c>
      <c r="G74">
        <v>37.668360550594507</v>
      </c>
      <c r="H74">
        <v>-1.6915137614678994</v>
      </c>
      <c r="I74">
        <v>-10.382035578885963</v>
      </c>
    </row>
    <row r="75" spans="1:9" x14ac:dyDescent="0.25">
      <c r="A75" t="s">
        <v>51</v>
      </c>
      <c r="B75">
        <v>39.760607175097796</v>
      </c>
      <c r="C75">
        <v>-13.927896461807135</v>
      </c>
      <c r="D75">
        <v>-4.9556685844520416</v>
      </c>
      <c r="E75">
        <v>19.183530237454676</v>
      </c>
      <c r="F75">
        <v>-20.850917656296005</v>
      </c>
      <c r="G75">
        <v>1.2121024242048484</v>
      </c>
      <c r="H75">
        <v>-18.69582529327085</v>
      </c>
      <c r="I75">
        <v>31.705782633264278</v>
      </c>
    </row>
    <row r="76" spans="1:9" x14ac:dyDescent="0.25">
      <c r="A76" t="s">
        <v>112</v>
      </c>
      <c r="B76">
        <v>17.641784353284017</v>
      </c>
      <c r="C76">
        <v>9.4035823170731714</v>
      </c>
      <c r="D76">
        <v>33.466864059914656</v>
      </c>
      <c r="E76">
        <v>-31.671669059115231</v>
      </c>
      <c r="F76">
        <v>22.249809014514895</v>
      </c>
      <c r="G76">
        <v>39.634432119981255</v>
      </c>
      <c r="H76">
        <v>3.0823450436339228</v>
      </c>
      <c r="I76">
        <v>8.5819721061485854</v>
      </c>
    </row>
    <row r="77" spans="1:9" x14ac:dyDescent="0.25">
      <c r="A77" t="s">
        <v>113</v>
      </c>
      <c r="B77" t="s">
        <v>61</v>
      </c>
      <c r="C77" t="s">
        <v>61</v>
      </c>
      <c r="D77" t="s">
        <v>61</v>
      </c>
      <c r="E77" t="s">
        <v>61</v>
      </c>
      <c r="F77" t="s">
        <v>61</v>
      </c>
      <c r="G77" t="s">
        <v>61</v>
      </c>
      <c r="H77" t="s">
        <v>61</v>
      </c>
      <c r="I77" t="s">
        <v>61</v>
      </c>
    </row>
    <row r="78" spans="1:9" x14ac:dyDescent="0.25">
      <c r="A78" t="s">
        <v>114</v>
      </c>
      <c r="B78">
        <v>15.439550287509171</v>
      </c>
      <c r="C78">
        <v>1.4692770261367303</v>
      </c>
      <c r="D78">
        <v>5.4489833475005263</v>
      </c>
      <c r="E78">
        <v>-2.6766553454052455</v>
      </c>
      <c r="F78">
        <v>2.2632753341990686</v>
      </c>
      <c r="G78">
        <v>9.2520580657705853</v>
      </c>
      <c r="H78">
        <v>-1.3395625811131282</v>
      </c>
      <c r="I78">
        <v>-4.5650070218434605E-2</v>
      </c>
    </row>
    <row r="79" spans="1:9" x14ac:dyDescent="0.25">
      <c r="A79" t="s">
        <v>115</v>
      </c>
      <c r="B79" t="s">
        <v>61</v>
      </c>
      <c r="C79" t="s">
        <v>61</v>
      </c>
      <c r="D79" t="s">
        <v>61</v>
      </c>
      <c r="E79" t="s">
        <v>61</v>
      </c>
      <c r="F79" t="s">
        <v>61</v>
      </c>
      <c r="G79" t="s">
        <v>61</v>
      </c>
      <c r="H79">
        <v>233.33333333333334</v>
      </c>
      <c r="I79">
        <v>60</v>
      </c>
    </row>
    <row r="80" spans="1:9" x14ac:dyDescent="0.25">
      <c r="A80" t="s">
        <v>116</v>
      </c>
      <c r="B80">
        <v>1514.2857142857147</v>
      </c>
      <c r="C80">
        <v>-18.14159292035399</v>
      </c>
      <c r="D80">
        <v>10.810810810810811</v>
      </c>
      <c r="E80">
        <v>9.7560975609756095</v>
      </c>
      <c r="F80">
        <v>0</v>
      </c>
      <c r="G80">
        <v>0</v>
      </c>
      <c r="H80">
        <v>15.555555555555555</v>
      </c>
      <c r="I80">
        <v>0</v>
      </c>
    </row>
    <row r="81" spans="1:9" x14ac:dyDescent="0.25">
      <c r="A81" t="s">
        <v>117</v>
      </c>
      <c r="B81">
        <v>0</v>
      </c>
      <c r="C81">
        <v>-9.0909090909090917</v>
      </c>
      <c r="D81">
        <v>3</v>
      </c>
      <c r="E81">
        <v>1.9417475728155338</v>
      </c>
      <c r="F81">
        <v>2.8571428571428572</v>
      </c>
      <c r="G81">
        <v>-2.7777777777777777</v>
      </c>
      <c r="H81">
        <v>2.8571428571428572</v>
      </c>
      <c r="I81">
        <v>-4.6296296296296298</v>
      </c>
    </row>
    <row r="82" spans="1:9" x14ac:dyDescent="0.25">
      <c r="A82" t="s">
        <v>118</v>
      </c>
      <c r="B82">
        <v>5.3996835613729255</v>
      </c>
      <c r="C82">
        <v>12.414654845216614</v>
      </c>
      <c r="D82">
        <v>7.4241274658573593</v>
      </c>
      <c r="E82">
        <v>9.474873750750433</v>
      </c>
      <c r="F82">
        <v>8.5516129032258075</v>
      </c>
      <c r="G82">
        <v>-3.1724168672550568</v>
      </c>
      <c r="H82">
        <v>29.861632208989537</v>
      </c>
      <c r="I82">
        <v>0.41816540386732115</v>
      </c>
    </row>
    <row r="83" spans="1:9" x14ac:dyDescent="0.25">
      <c r="A83" t="s">
        <v>119</v>
      </c>
      <c r="B83">
        <v>16.821515892420543</v>
      </c>
      <c r="C83">
        <v>19.903725408120547</v>
      </c>
      <c r="D83">
        <v>19.846395531506381</v>
      </c>
      <c r="E83">
        <v>17.419166909408684</v>
      </c>
      <c r="F83">
        <v>83.949392210369624</v>
      </c>
      <c r="G83">
        <v>2.4275118004045853</v>
      </c>
      <c r="H83">
        <v>160.03949967083608</v>
      </c>
      <c r="I83">
        <v>51.518987341772146</v>
      </c>
    </row>
    <row r="84" spans="1:9" x14ac:dyDescent="0.25">
      <c r="A84" t="s">
        <v>120</v>
      </c>
      <c r="B84" t="s">
        <v>61</v>
      </c>
      <c r="C84">
        <v>150</v>
      </c>
      <c r="D84">
        <v>0</v>
      </c>
      <c r="E84">
        <v>-20</v>
      </c>
      <c r="F84">
        <v>-25</v>
      </c>
      <c r="G84">
        <v>0</v>
      </c>
      <c r="H84">
        <v>0</v>
      </c>
      <c r="I84">
        <v>0</v>
      </c>
    </row>
    <row r="85" spans="1:9" x14ac:dyDescent="0.25">
      <c r="A85" t="s">
        <v>121</v>
      </c>
      <c r="B85">
        <v>-19.380327554831915</v>
      </c>
      <c r="C85">
        <v>106.79180279180281</v>
      </c>
      <c r="D85">
        <v>-55.942252121309608</v>
      </c>
      <c r="E85">
        <v>-20.778458729951748</v>
      </c>
      <c r="F85">
        <v>-43.368447041395768</v>
      </c>
      <c r="G85">
        <v>2.9819946812375457</v>
      </c>
      <c r="H85">
        <v>572.68750440979329</v>
      </c>
      <c r="I85">
        <v>64.149360184602472</v>
      </c>
    </row>
    <row r="86" spans="1:9" x14ac:dyDescent="0.25">
      <c r="A86" t="s">
        <v>122</v>
      </c>
      <c r="B86">
        <v>5.7377049180327866</v>
      </c>
      <c r="C86">
        <v>8.5271317829457356</v>
      </c>
      <c r="D86">
        <v>2.1428571428571428</v>
      </c>
      <c r="E86">
        <v>8.7412587412587417</v>
      </c>
      <c r="F86">
        <v>0.32154340836012862</v>
      </c>
      <c r="G86">
        <v>3.2051282051282048</v>
      </c>
      <c r="H86">
        <v>4.658385093167702</v>
      </c>
      <c r="I86">
        <v>-1.7804154302670623</v>
      </c>
    </row>
    <row r="87" spans="1:9" x14ac:dyDescent="0.25">
      <c r="A87" t="s">
        <v>123</v>
      </c>
      <c r="B87">
        <v>-1.9963702359346642</v>
      </c>
      <c r="C87">
        <v>19.444444444444446</v>
      </c>
      <c r="D87">
        <v>0.77519379844961245</v>
      </c>
      <c r="E87">
        <v>4.7692307692307692</v>
      </c>
      <c r="F87">
        <v>4.4803230543318735</v>
      </c>
      <c r="G87">
        <v>-11.079660047420212</v>
      </c>
      <c r="H87">
        <v>15.687600959729906</v>
      </c>
      <c r="I87">
        <v>40.406869509379312</v>
      </c>
    </row>
    <row r="88" spans="1:9" x14ac:dyDescent="0.25">
      <c r="A88" t="s">
        <v>43</v>
      </c>
      <c r="B88">
        <v>9.3477144324601955</v>
      </c>
      <c r="C88">
        <v>-2.0197275716298733</v>
      </c>
      <c r="D88">
        <v>-0.93480345158197509</v>
      </c>
      <c r="E88">
        <v>-8.3692233244616521</v>
      </c>
      <c r="F88">
        <v>1.2568984183148031</v>
      </c>
      <c r="G88">
        <v>4.5419459149346775</v>
      </c>
      <c r="H88">
        <v>-16.155924238002232</v>
      </c>
      <c r="I88">
        <v>-38.718017374747113</v>
      </c>
    </row>
    <row r="89" spans="1:9" x14ac:dyDescent="0.25">
      <c r="A89" t="s">
        <v>6</v>
      </c>
      <c r="B89">
        <v>-6.2815423660379581</v>
      </c>
      <c r="C89">
        <v>12.36789041141081</v>
      </c>
      <c r="D89">
        <v>-2.2193619060660046</v>
      </c>
      <c r="E89">
        <v>-3.1872363785058448</v>
      </c>
      <c r="F89">
        <v>6.6686608840149413</v>
      </c>
      <c r="G89">
        <v>-2.2299625675381614</v>
      </c>
      <c r="H89">
        <v>2.9534656139885795</v>
      </c>
      <c r="I89">
        <v>-4.1606043009278579</v>
      </c>
    </row>
    <row r="90" spans="1:9" x14ac:dyDescent="0.25">
      <c r="A90" t="s">
        <v>32</v>
      </c>
      <c r="B90">
        <v>80.480996349581275</v>
      </c>
      <c r="C90">
        <v>37.872298235177475</v>
      </c>
      <c r="D90">
        <v>-8.0239899897884364</v>
      </c>
      <c r="E90">
        <v>77.507427677873352</v>
      </c>
      <c r="F90">
        <v>19.246038737564149</v>
      </c>
      <c r="G90">
        <v>30.892166761062818</v>
      </c>
      <c r="H90">
        <v>-3.3713361176957521</v>
      </c>
      <c r="I90">
        <v>-3.4266578404267745</v>
      </c>
    </row>
    <row r="91" spans="1:9" x14ac:dyDescent="0.25">
      <c r="A91" t="s">
        <v>124</v>
      </c>
      <c r="B91">
        <v>6.6972280324745395</v>
      </c>
      <c r="C91">
        <v>8.9613430746442155</v>
      </c>
      <c r="D91">
        <v>16.65950143162523</v>
      </c>
      <c r="E91">
        <v>9.4523629044653195</v>
      </c>
      <c r="F91">
        <v>8.9283499306693557</v>
      </c>
      <c r="G91">
        <v>8.8761557018249366</v>
      </c>
      <c r="H91">
        <v>8.7901108595601762</v>
      </c>
      <c r="I91">
        <v>10.608609420339414</v>
      </c>
    </row>
    <row r="92" spans="1:9" x14ac:dyDescent="0.25">
      <c r="A92" t="s">
        <v>53</v>
      </c>
      <c r="B92">
        <v>2.2557414044890463</v>
      </c>
      <c r="C92">
        <v>0.72438819241167962</v>
      </c>
      <c r="D92">
        <v>-2.1493168173841335</v>
      </c>
      <c r="E92">
        <v>-2.5373040348074274</v>
      </c>
      <c r="F92">
        <v>-3.7771728037333259</v>
      </c>
      <c r="G92">
        <v>-0.76560798951715414</v>
      </c>
      <c r="H92">
        <v>0.66960919453067391</v>
      </c>
      <c r="I92">
        <v>3.9616014855293082</v>
      </c>
    </row>
    <row r="93" spans="1:9" x14ac:dyDescent="0.25">
      <c r="A93" t="s">
        <v>41</v>
      </c>
      <c r="B93">
        <v>15.026956124789811</v>
      </c>
      <c r="C93">
        <v>3.7068387381979209</v>
      </c>
      <c r="D93">
        <v>6.4983881788479652</v>
      </c>
      <c r="E93">
        <v>4.187456506215347</v>
      </c>
      <c r="F93">
        <v>4.8826645653754062</v>
      </c>
      <c r="G93">
        <v>-0.3669094693028096</v>
      </c>
      <c r="H93">
        <v>14.479348786494464</v>
      </c>
      <c r="I93">
        <v>12.516079590552042</v>
      </c>
    </row>
    <row r="94" spans="1:9" x14ac:dyDescent="0.25">
      <c r="A94" t="s">
        <v>125</v>
      </c>
      <c r="B94">
        <v>16.25609805265492</v>
      </c>
      <c r="C94">
        <v>10.331194728628402</v>
      </c>
      <c r="D94">
        <v>-19.101653360155908</v>
      </c>
      <c r="E94">
        <v>-13.474763958503322</v>
      </c>
      <c r="F94">
        <v>1.9533881180115855</v>
      </c>
      <c r="G94">
        <v>-4.4045102184637072E-2</v>
      </c>
      <c r="H94">
        <v>1.3483740195646428</v>
      </c>
      <c r="I94">
        <v>4.1080434782608632</v>
      </c>
    </row>
    <row r="95" spans="1:9" x14ac:dyDescent="0.25">
      <c r="A95" t="s">
        <v>17</v>
      </c>
      <c r="B95">
        <v>1.4991929382093323</v>
      </c>
      <c r="C95">
        <v>12.892889773814659</v>
      </c>
      <c r="D95">
        <v>-18.790705454833585</v>
      </c>
      <c r="E95">
        <v>2.7585720906658886</v>
      </c>
      <c r="F95">
        <v>-0.42992374788005394</v>
      </c>
      <c r="G95">
        <v>11.518461909315597</v>
      </c>
      <c r="H95">
        <v>4.5488016342430937</v>
      </c>
      <c r="I95">
        <v>-20.21175080656155</v>
      </c>
    </row>
    <row r="96" spans="1:9" x14ac:dyDescent="0.25">
      <c r="A96" t="s">
        <v>126</v>
      </c>
      <c r="B96" t="s">
        <v>61</v>
      </c>
      <c r="C96" t="s">
        <v>61</v>
      </c>
      <c r="D96" t="s">
        <v>61</v>
      </c>
      <c r="E96" t="s">
        <v>61</v>
      </c>
      <c r="F96" t="s">
        <v>61</v>
      </c>
      <c r="G96" t="s">
        <v>61</v>
      </c>
      <c r="H96" t="s">
        <v>61</v>
      </c>
      <c r="I96" t="s">
        <v>61</v>
      </c>
    </row>
    <row r="97" spans="1:9" x14ac:dyDescent="0.25">
      <c r="A97" t="s">
        <v>127</v>
      </c>
      <c r="B97">
        <v>-3.696537678207739</v>
      </c>
      <c r="C97">
        <v>-4.848260547742413</v>
      </c>
      <c r="D97">
        <v>-5.400900150025004</v>
      </c>
      <c r="E97">
        <v>-0.49926578560939799</v>
      </c>
      <c r="F97">
        <v>-9.7992916174734344</v>
      </c>
      <c r="G97">
        <v>-2.6505235602094239</v>
      </c>
      <c r="H97">
        <v>-6.9579831932773102</v>
      </c>
      <c r="I97">
        <v>4.7687861271676297</v>
      </c>
    </row>
    <row r="98" spans="1:9" x14ac:dyDescent="0.25">
      <c r="A98" t="s">
        <v>23</v>
      </c>
      <c r="B98">
        <v>5.1742843967502541</v>
      </c>
      <c r="C98">
        <v>0.10545826409305893</v>
      </c>
      <c r="D98">
        <v>-7.4220699122107003</v>
      </c>
      <c r="E98">
        <v>-8.7050807377256909</v>
      </c>
      <c r="F98">
        <v>-4.9763185367939213</v>
      </c>
      <c r="G98">
        <v>15.956435068632768</v>
      </c>
      <c r="H98">
        <v>-10.533974259213677</v>
      </c>
      <c r="I98">
        <v>-3.2225238855391498</v>
      </c>
    </row>
    <row r="99" spans="1:9" x14ac:dyDescent="0.25">
      <c r="A99" t="s">
        <v>128</v>
      </c>
      <c r="B99">
        <v>56.836902800658983</v>
      </c>
      <c r="C99">
        <v>41.491596638655466</v>
      </c>
      <c r="D99">
        <v>10.913140311804009</v>
      </c>
      <c r="E99">
        <v>-24.899598393574294</v>
      </c>
      <c r="F99">
        <v>-17.401960784313726</v>
      </c>
      <c r="G99">
        <v>-4.5913137307796008</v>
      </c>
      <c r="H99">
        <v>8.9346301741687402</v>
      </c>
      <c r="I99">
        <v>0.72674418604651159</v>
      </c>
    </row>
    <row r="100" spans="1:9" x14ac:dyDescent="0.25">
      <c r="A100" t="s">
        <v>129</v>
      </c>
      <c r="B100">
        <v>-3.4022635318504637</v>
      </c>
      <c r="C100">
        <v>-4.19858141679748</v>
      </c>
      <c r="D100">
        <v>1.146163349225922</v>
      </c>
      <c r="E100">
        <v>-8.5298228295799525</v>
      </c>
      <c r="F100">
        <v>5.5243630099724648</v>
      </c>
      <c r="G100">
        <v>-3.9334554688733614</v>
      </c>
      <c r="H100">
        <v>-1.6830360098978752</v>
      </c>
      <c r="I100">
        <v>-6.7974646139739843</v>
      </c>
    </row>
    <row r="101" spans="1:9" x14ac:dyDescent="0.25">
      <c r="A101" t="s">
        <v>34</v>
      </c>
      <c r="B101">
        <v>17.894736842105264</v>
      </c>
      <c r="C101">
        <v>8.9285714285714288</v>
      </c>
      <c r="D101">
        <v>9.0163934426229506</v>
      </c>
      <c r="E101">
        <v>45.864661654135332</v>
      </c>
      <c r="F101">
        <v>5.9278350515463911</v>
      </c>
      <c r="G101">
        <v>4.3795620437956204</v>
      </c>
      <c r="H101">
        <v>20.372960372960371</v>
      </c>
      <c r="I101">
        <v>5.3214562354763784</v>
      </c>
    </row>
    <row r="102" spans="1:9" x14ac:dyDescent="0.25">
      <c r="A102" t="s">
        <v>130</v>
      </c>
      <c r="B102">
        <v>157.11938663745892</v>
      </c>
      <c r="C102">
        <v>47.816826411075617</v>
      </c>
      <c r="D102">
        <v>103.64801873198847</v>
      </c>
      <c r="E102">
        <v>22.638777670052495</v>
      </c>
      <c r="F102">
        <v>-1.5261859774127129</v>
      </c>
      <c r="G102">
        <v>14.946710904827818</v>
      </c>
      <c r="H102">
        <v>69.440207203523357</v>
      </c>
      <c r="I102">
        <v>28.656166937600236</v>
      </c>
    </row>
    <row r="103" spans="1:9" x14ac:dyDescent="0.25">
      <c r="A103" t="s">
        <v>131</v>
      </c>
      <c r="B103">
        <v>-19.255313538315487</v>
      </c>
      <c r="C103">
        <v>-14.252122795558458</v>
      </c>
      <c r="D103">
        <v>29.166666666666668</v>
      </c>
      <c r="E103">
        <v>19.714572153093119</v>
      </c>
      <c r="F103">
        <v>22.182266009852217</v>
      </c>
      <c r="G103">
        <v>14.784501874773213</v>
      </c>
      <c r="H103">
        <v>1.6438356164383561</v>
      </c>
      <c r="I103">
        <v>14.952657405487594</v>
      </c>
    </row>
    <row r="104" spans="1:9" x14ac:dyDescent="0.25">
      <c r="A104" t="s">
        <v>132</v>
      </c>
      <c r="B104">
        <v>-99.94305239179954</v>
      </c>
      <c r="C104">
        <v>7500</v>
      </c>
      <c r="D104">
        <v>-98.68421052631578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t="s">
        <v>133</v>
      </c>
      <c r="B105">
        <v>9.1589608102157651</v>
      </c>
      <c r="C105">
        <v>0.85679709560306572</v>
      </c>
      <c r="D105">
        <v>8.6391706396185963</v>
      </c>
      <c r="E105">
        <v>7.3631196065148882E-2</v>
      </c>
      <c r="F105">
        <v>0.10889399022897168</v>
      </c>
      <c r="G105">
        <v>3.8218433044245187E-2</v>
      </c>
      <c r="H105">
        <v>2.0571294228282591E-2</v>
      </c>
      <c r="I105">
        <v>0</v>
      </c>
    </row>
    <row r="106" spans="1:9" x14ac:dyDescent="0.25">
      <c r="A106" t="s">
        <v>46</v>
      </c>
      <c r="B106">
        <v>10.899888755342278</v>
      </c>
      <c r="C106">
        <v>25.575187444197027</v>
      </c>
      <c r="D106">
        <v>-2.396391171699892</v>
      </c>
      <c r="E106">
        <v>5.3076879193600055</v>
      </c>
      <c r="F106">
        <v>-2.731852882836324</v>
      </c>
      <c r="G106">
        <v>4.3411484624652532</v>
      </c>
      <c r="H106">
        <v>-5.026663826923639</v>
      </c>
      <c r="I106">
        <v>-0.37428586641510386</v>
      </c>
    </row>
    <row r="107" spans="1:9" x14ac:dyDescent="0.25">
      <c r="A107" t="s">
        <v>134</v>
      </c>
      <c r="B107" t="e">
        <v>#VALUE!</v>
      </c>
      <c r="C107" t="e">
        <v>#VALUE!</v>
      </c>
      <c r="D107" t="e">
        <v>#VALUE!</v>
      </c>
      <c r="E107" t="e">
        <v>#VALUE!</v>
      </c>
      <c r="F107" t="e">
        <v>#VALUE!</v>
      </c>
      <c r="G107" t="e">
        <v>#VALUE!</v>
      </c>
      <c r="H107" t="e">
        <v>#VALUE!</v>
      </c>
      <c r="I107" t="e">
        <v>#VALUE!</v>
      </c>
    </row>
    <row r="108" spans="1:9" x14ac:dyDescent="0.25">
      <c r="A108" t="s">
        <v>54</v>
      </c>
      <c r="B108">
        <v>-21.312977099236644</v>
      </c>
      <c r="C108">
        <v>-0.56266977105160876</v>
      </c>
      <c r="D108">
        <v>1.292682926829271</v>
      </c>
      <c r="E108">
        <v>125.30219118709363</v>
      </c>
      <c r="F108">
        <v>-1.2482900136798853</v>
      </c>
      <c r="G108">
        <v>0</v>
      </c>
      <c r="H108">
        <v>0.4329004329004329</v>
      </c>
      <c r="I108">
        <v>0</v>
      </c>
    </row>
    <row r="109" spans="1:9" x14ac:dyDescent="0.25">
      <c r="A109" t="s">
        <v>135</v>
      </c>
      <c r="B109">
        <v>80.70947210782478</v>
      </c>
      <c r="C109">
        <v>8.768840316983475</v>
      </c>
      <c r="D109">
        <v>21.842857142857135</v>
      </c>
      <c r="E109">
        <v>68.054089967561666</v>
      </c>
      <c r="F109">
        <v>18.604651162790699</v>
      </c>
      <c r="G109">
        <v>101.96078431372548</v>
      </c>
      <c r="H109">
        <v>100.95436893203882</v>
      </c>
      <c r="I109">
        <v>62.332172207379358</v>
      </c>
    </row>
    <row r="110" spans="1:9" x14ac:dyDescent="0.25">
      <c r="A110" t="s">
        <v>50</v>
      </c>
      <c r="B110">
        <v>11.082165372792163</v>
      </c>
      <c r="C110">
        <v>3.0018761726078798</v>
      </c>
      <c r="D110">
        <v>8.1056466302367944</v>
      </c>
      <c r="E110">
        <v>3.6225779275484413</v>
      </c>
      <c r="F110">
        <v>5.7073170731707323</v>
      </c>
      <c r="G110">
        <v>3.8363328718658671</v>
      </c>
      <c r="H110">
        <v>2.0591372363119222</v>
      </c>
      <c r="I110">
        <v>1.6053647632595001</v>
      </c>
    </row>
    <row r="111" spans="1:9" x14ac:dyDescent="0.25">
      <c r="A111" t="s">
        <v>5</v>
      </c>
      <c r="B111">
        <v>-8.6658167700063764</v>
      </c>
      <c r="C111">
        <v>2.5204389926365134</v>
      </c>
      <c r="D111">
        <v>2.6883184394880697</v>
      </c>
      <c r="E111">
        <v>-26.639828363425984</v>
      </c>
      <c r="F111">
        <v>17.87756309148266</v>
      </c>
      <c r="G111">
        <v>25.639417381002151</v>
      </c>
      <c r="H111">
        <v>-3.4934546261371215</v>
      </c>
      <c r="I111">
        <v>-9.8688370061270732</v>
      </c>
    </row>
    <row r="112" spans="1:9" x14ac:dyDescent="0.25">
      <c r="A112" t="s">
        <v>136</v>
      </c>
      <c r="B112">
        <v>0</v>
      </c>
      <c r="C112">
        <v>0</v>
      </c>
      <c r="D112">
        <v>-9.1787439613526569</v>
      </c>
      <c r="E112">
        <v>0</v>
      </c>
      <c r="F112">
        <v>-0.74468085106382986</v>
      </c>
      <c r="G112">
        <v>0.32154340836012862</v>
      </c>
      <c r="H112">
        <v>0.21367521367521369</v>
      </c>
      <c r="I112">
        <v>0</v>
      </c>
    </row>
    <row r="113" spans="1:9" x14ac:dyDescent="0.25">
      <c r="A113" t="s">
        <v>137</v>
      </c>
      <c r="B113">
        <v>4.895104895104895</v>
      </c>
      <c r="C113">
        <v>71.523809523809518</v>
      </c>
      <c r="D113">
        <v>38.837312604108831</v>
      </c>
      <c r="E113">
        <v>1.9812354526767062</v>
      </c>
      <c r="F113">
        <v>2</v>
      </c>
      <c r="G113">
        <v>-42.279892349096507</v>
      </c>
      <c r="H113">
        <v>22.044894424831813</v>
      </c>
      <c r="I113">
        <v>9.5259406416119958</v>
      </c>
    </row>
    <row r="114" spans="1:9" x14ac:dyDescent="0.25">
      <c r="A114" t="s">
        <v>138</v>
      </c>
      <c r="B114">
        <v>50</v>
      </c>
      <c r="C114">
        <v>49.275362318840585</v>
      </c>
      <c r="D114">
        <v>33.009708737864081</v>
      </c>
      <c r="E114">
        <v>24.817518248175183</v>
      </c>
      <c r="F114">
        <v>20.467836257309941</v>
      </c>
      <c r="G114">
        <v>11.650485436893204</v>
      </c>
      <c r="H114">
        <v>19.565217391304348</v>
      </c>
      <c r="I114">
        <v>-0.94545454545454555</v>
      </c>
    </row>
    <row r="115" spans="1:9" x14ac:dyDescent="0.25">
      <c r="A115" t="s">
        <v>139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140</v>
      </c>
      <c r="B116" t="s">
        <v>61</v>
      </c>
      <c r="C116" t="s">
        <v>61</v>
      </c>
      <c r="D116" t="s">
        <v>61</v>
      </c>
      <c r="E116" t="s">
        <v>61</v>
      </c>
      <c r="F116" t="s">
        <v>61</v>
      </c>
      <c r="G116" t="s">
        <v>61</v>
      </c>
      <c r="H116" t="s">
        <v>61</v>
      </c>
      <c r="I116" t="s">
        <v>61</v>
      </c>
    </row>
    <row r="117" spans="1:9" x14ac:dyDescent="0.25">
      <c r="A117" t="s">
        <v>9</v>
      </c>
      <c r="B117">
        <v>-1.2905124972753914</v>
      </c>
      <c r="C117">
        <v>-14.65304115426817</v>
      </c>
      <c r="D117">
        <v>-0.12376402681199145</v>
      </c>
      <c r="E117">
        <v>12.557799184388555</v>
      </c>
      <c r="F117">
        <v>6.2354436242362272</v>
      </c>
      <c r="G117">
        <v>14.693408078258837</v>
      </c>
      <c r="H117">
        <v>-5.3809484863709107</v>
      </c>
      <c r="I117">
        <v>-12.371450151368284</v>
      </c>
    </row>
    <row r="118" spans="1:9" x14ac:dyDescent="0.25">
      <c r="A118" t="s">
        <v>141</v>
      </c>
      <c r="B118" t="s">
        <v>61</v>
      </c>
      <c r="C118" t="s">
        <v>61</v>
      </c>
      <c r="D118" t="s">
        <v>61</v>
      </c>
      <c r="E118" t="s">
        <v>61</v>
      </c>
      <c r="F118" t="s">
        <v>61</v>
      </c>
      <c r="G118" t="s">
        <v>61</v>
      </c>
      <c r="H118" t="s">
        <v>61</v>
      </c>
      <c r="I118" t="s">
        <v>61</v>
      </c>
    </row>
    <row r="119" spans="1:9" x14ac:dyDescent="0.25">
      <c r="A119" t="s">
        <v>142</v>
      </c>
      <c r="B119" t="s">
        <v>61</v>
      </c>
      <c r="C119" t="s">
        <v>61</v>
      </c>
      <c r="D119" t="s">
        <v>61</v>
      </c>
      <c r="E119" t="s">
        <v>61</v>
      </c>
      <c r="F119" t="s">
        <v>61</v>
      </c>
      <c r="G119" t="s">
        <v>61</v>
      </c>
      <c r="H119" t="s">
        <v>61</v>
      </c>
      <c r="I119" t="s">
        <v>61</v>
      </c>
    </row>
    <row r="120" spans="1:9" x14ac:dyDescent="0.25">
      <c r="A120" t="s">
        <v>143</v>
      </c>
      <c r="B120">
        <v>14.57988623529967</v>
      </c>
      <c r="C120">
        <v>9.0066530784909435</v>
      </c>
      <c r="D120">
        <v>-54.930121714588111</v>
      </c>
      <c r="E120">
        <v>10.484125432864989</v>
      </c>
      <c r="F120">
        <v>-3.7476593070486057</v>
      </c>
      <c r="G120">
        <v>21.371467268290704</v>
      </c>
      <c r="H120">
        <v>52.755254153410228</v>
      </c>
      <c r="I120">
        <v>49.172211723228905</v>
      </c>
    </row>
    <row r="121" spans="1:9" x14ac:dyDescent="0.25">
      <c r="A121" t="s">
        <v>144</v>
      </c>
      <c r="B121">
        <v>53.727181342983521</v>
      </c>
      <c r="C121">
        <v>59.772127762251195</v>
      </c>
      <c r="D121">
        <v>-26.216357802370499</v>
      </c>
      <c r="E121">
        <v>-8.3425782116707339</v>
      </c>
      <c r="F121">
        <v>13.689179375453886</v>
      </c>
      <c r="G121">
        <v>5.9086553816671987</v>
      </c>
      <c r="H121">
        <v>-28.146361077603537</v>
      </c>
      <c r="I121">
        <v>-33.128147733631785</v>
      </c>
    </row>
    <row r="122" spans="1:9" x14ac:dyDescent="0.25">
      <c r="A122" t="s">
        <v>145</v>
      </c>
      <c r="B122">
        <v>-19.543374772075083</v>
      </c>
      <c r="C122">
        <v>4.812223635682555</v>
      </c>
      <c r="D122">
        <v>-8.3126921728434144</v>
      </c>
      <c r="E122">
        <v>5.1797758891658763</v>
      </c>
      <c r="F122">
        <v>-2.8533606936346203</v>
      </c>
      <c r="G122">
        <v>4.2348346763760443</v>
      </c>
      <c r="H122">
        <v>37.535799755489165</v>
      </c>
      <c r="I122">
        <v>-11.636503509591124</v>
      </c>
    </row>
    <row r="123" spans="1:9" x14ac:dyDescent="0.25">
      <c r="A123" t="s">
        <v>33</v>
      </c>
      <c r="B123">
        <v>0</v>
      </c>
      <c r="C123">
        <v>0</v>
      </c>
      <c r="D123">
        <v>-50</v>
      </c>
      <c r="E123">
        <v>0</v>
      </c>
      <c r="F123">
        <v>100</v>
      </c>
      <c r="G123">
        <v>0</v>
      </c>
      <c r="H123">
        <v>50</v>
      </c>
      <c r="I123">
        <v>0</v>
      </c>
    </row>
    <row r="124" spans="1:9" x14ac:dyDescent="0.25">
      <c r="A124" t="s">
        <v>35</v>
      </c>
      <c r="B124">
        <v>74.75</v>
      </c>
      <c r="C124">
        <v>-6.6762041010968058</v>
      </c>
      <c r="D124">
        <v>36.101175268267752</v>
      </c>
      <c r="E124">
        <v>31.124460296602212</v>
      </c>
      <c r="F124">
        <v>10.035790980672871</v>
      </c>
      <c r="G124">
        <v>10.382513661202186</v>
      </c>
      <c r="H124">
        <v>4.0782649693540787</v>
      </c>
      <c r="I124">
        <v>2.0271800679501699</v>
      </c>
    </row>
    <row r="125" spans="1:9" x14ac:dyDescent="0.25">
      <c r="A125" t="s">
        <v>14</v>
      </c>
      <c r="B125">
        <v>26.44367592592592</v>
      </c>
      <c r="C125">
        <v>15.120039174227559</v>
      </c>
      <c r="D125">
        <v>22.713229572454708</v>
      </c>
      <c r="E125">
        <v>-28.342583149205286</v>
      </c>
      <c r="F125">
        <v>43.445818164035828</v>
      </c>
      <c r="G125">
        <v>-17.243346422740117</v>
      </c>
      <c r="H125">
        <v>9.9955284039583141</v>
      </c>
      <c r="I125">
        <v>15.416464849055206</v>
      </c>
    </row>
    <row r="126" spans="1:9" x14ac:dyDescent="0.25">
      <c r="A126" t="s">
        <v>146</v>
      </c>
      <c r="B126">
        <v>2399.9999999999995</v>
      </c>
      <c r="C126">
        <v>0</v>
      </c>
      <c r="D126">
        <v>-54.6</v>
      </c>
      <c r="E126">
        <v>-96.828193832599112</v>
      </c>
      <c r="F126">
        <v>13316.666666666668</v>
      </c>
      <c r="G126">
        <v>-78.053830227743276</v>
      </c>
      <c r="H126">
        <v>1118.8679245283017</v>
      </c>
      <c r="I126">
        <v>-88.544891640866879</v>
      </c>
    </row>
    <row r="127" spans="1:9" x14ac:dyDescent="0.25">
      <c r="A127" t="s">
        <v>147</v>
      </c>
      <c r="B127" t="s">
        <v>61</v>
      </c>
      <c r="C127" t="s">
        <v>61</v>
      </c>
      <c r="D127" t="s">
        <v>61</v>
      </c>
      <c r="E127" t="s">
        <v>61</v>
      </c>
      <c r="F127" t="s">
        <v>61</v>
      </c>
      <c r="G127" t="s">
        <v>61</v>
      </c>
      <c r="H127" t="s">
        <v>61</v>
      </c>
      <c r="I127" t="s">
        <v>61</v>
      </c>
    </row>
    <row r="128" spans="1:9" x14ac:dyDescent="0.25">
      <c r="A128" t="s">
        <v>148</v>
      </c>
      <c r="B128">
        <v>31.615098132707903</v>
      </c>
      <c r="C128">
        <v>22.735283750440598</v>
      </c>
      <c r="D128">
        <v>65.103069755568313</v>
      </c>
      <c r="E128">
        <v>57.093158098183217</v>
      </c>
      <c r="F128">
        <v>1.4394685039370134</v>
      </c>
      <c r="G128">
        <v>-29.789993935718623</v>
      </c>
      <c r="H128">
        <v>-33.263543574980368</v>
      </c>
      <c r="I128">
        <v>52.368148579563844</v>
      </c>
    </row>
    <row r="129" spans="1:9" x14ac:dyDescent="0.25">
      <c r="A129" t="s">
        <v>149</v>
      </c>
      <c r="B129">
        <v>4.5864004345415594</v>
      </c>
      <c r="C129">
        <v>9.9309204560518705</v>
      </c>
      <c r="D129">
        <v>1.6091209654305734</v>
      </c>
      <c r="E129">
        <v>22.823286138571667</v>
      </c>
      <c r="F129">
        <v>14.805051860533275</v>
      </c>
      <c r="G129">
        <v>-31.210127352313165</v>
      </c>
      <c r="H129">
        <v>20.773674011615824</v>
      </c>
      <c r="I129">
        <v>-4.4600076978498429</v>
      </c>
    </row>
    <row r="130" spans="1:9" x14ac:dyDescent="0.25">
      <c r="A130" t="s">
        <v>150</v>
      </c>
      <c r="B130" t="s">
        <v>61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t="s">
        <v>151</v>
      </c>
      <c r="B131">
        <v>7.5168614758070644</v>
      </c>
      <c r="C131">
        <v>0.59215640868716912</v>
      </c>
      <c r="D131">
        <v>3.6750801611444546</v>
      </c>
      <c r="E131">
        <v>0.55511498810467885</v>
      </c>
      <c r="F131">
        <v>-0.63091482649842268</v>
      </c>
      <c r="G131">
        <v>2.4206349206349209</v>
      </c>
      <c r="H131">
        <v>3.8744672607516469E-2</v>
      </c>
      <c r="I131">
        <v>10.340821068938807</v>
      </c>
    </row>
    <row r="132" spans="1:9" x14ac:dyDescent="0.25">
      <c r="A132" t="s">
        <v>152</v>
      </c>
      <c r="B132" t="s">
        <v>61</v>
      </c>
      <c r="C132" t="s">
        <v>61</v>
      </c>
      <c r="D132" t="s">
        <v>61</v>
      </c>
      <c r="E132" t="s">
        <v>61</v>
      </c>
      <c r="F132" t="s">
        <v>61</v>
      </c>
      <c r="G132" t="s">
        <v>61</v>
      </c>
      <c r="H132" t="s">
        <v>61</v>
      </c>
      <c r="I132" t="s">
        <v>61</v>
      </c>
    </row>
    <row r="133" spans="1:9" x14ac:dyDescent="0.25">
      <c r="A133" t="s">
        <v>153</v>
      </c>
      <c r="B133" t="s">
        <v>61</v>
      </c>
      <c r="C133" t="s">
        <v>61</v>
      </c>
      <c r="D133" t="s">
        <v>61</v>
      </c>
      <c r="E133" t="s">
        <v>61</v>
      </c>
      <c r="F133" t="s">
        <v>61</v>
      </c>
      <c r="G133" t="s">
        <v>61</v>
      </c>
      <c r="H133" t="s">
        <v>61</v>
      </c>
      <c r="I133" t="s">
        <v>61</v>
      </c>
    </row>
    <row r="134" spans="1:9" x14ac:dyDescent="0.25">
      <c r="A134" t="s">
        <v>26</v>
      </c>
      <c r="B134">
        <v>14.268142681426815</v>
      </c>
      <c r="C134">
        <v>10.010764262648008</v>
      </c>
      <c r="D134">
        <v>7.3385518590998036</v>
      </c>
      <c r="E134">
        <v>-2.096627164995442</v>
      </c>
      <c r="F134">
        <v>-17.597765363128492</v>
      </c>
      <c r="G134">
        <v>-3.050847457627119</v>
      </c>
      <c r="H134">
        <v>26.689976689976692</v>
      </c>
      <c r="I134">
        <v>25.482980680772769</v>
      </c>
    </row>
    <row r="135" spans="1:9" x14ac:dyDescent="0.25">
      <c r="A135" t="s">
        <v>154</v>
      </c>
      <c r="B135">
        <v>9.5333333333333243</v>
      </c>
      <c r="C135">
        <v>10.4260499087036</v>
      </c>
      <c r="D135">
        <v>-0.24440752435020527</v>
      </c>
      <c r="E135">
        <v>26.14266567527504</v>
      </c>
      <c r="F135">
        <v>1.2331449231560618</v>
      </c>
      <c r="G135">
        <v>28.776201990832089</v>
      </c>
      <c r="H135">
        <v>14.523064162637109</v>
      </c>
      <c r="I135">
        <v>-0.81045965304933454</v>
      </c>
    </row>
    <row r="136" spans="1:9" x14ac:dyDescent="0.25">
      <c r="A136" t="s">
        <v>155</v>
      </c>
      <c r="B136">
        <v>4.148278905560459</v>
      </c>
      <c r="C136">
        <v>55.932203389830505</v>
      </c>
      <c r="D136">
        <v>44.782608695652179</v>
      </c>
      <c r="E136">
        <v>-7.1696696696696689</v>
      </c>
      <c r="F136">
        <v>34.735139506672056</v>
      </c>
      <c r="G136">
        <v>24.489795918367346</v>
      </c>
      <c r="H136">
        <v>33.72709739633558</v>
      </c>
      <c r="I136">
        <v>8.797548224265368</v>
      </c>
    </row>
    <row r="137" spans="1:9" x14ac:dyDescent="0.25">
      <c r="A137" t="s">
        <v>156</v>
      </c>
      <c r="B137">
        <v>1.7990990252600603</v>
      </c>
      <c r="C137">
        <v>3.053972046111761</v>
      </c>
      <c r="D137">
        <v>7.9030285169092291</v>
      </c>
      <c r="E137">
        <v>-4.3631215592265855</v>
      </c>
      <c r="F137">
        <v>5.7858462492075828</v>
      </c>
      <c r="G137">
        <v>1.9692028305059381</v>
      </c>
      <c r="H137">
        <v>2.5460351797016001</v>
      </c>
      <c r="I137">
        <v>-6.5160331966483661E-3</v>
      </c>
    </row>
    <row r="138" spans="1:9" x14ac:dyDescent="0.25">
      <c r="A138" t="s">
        <v>157</v>
      </c>
      <c r="B138">
        <v>-16.06603487127035</v>
      </c>
      <c r="C138">
        <v>-3.4786747905559858</v>
      </c>
      <c r="D138">
        <v>-32.440376383327084</v>
      </c>
      <c r="E138">
        <v>13.571887409483763</v>
      </c>
      <c r="F138">
        <v>-17.545717951157066</v>
      </c>
      <c r="G138">
        <v>8.8863944623739158E-2</v>
      </c>
      <c r="H138">
        <v>5.9190031152647977</v>
      </c>
      <c r="I138">
        <v>0</v>
      </c>
    </row>
    <row r="139" spans="1:9" x14ac:dyDescent="0.25">
      <c r="A139" t="s">
        <v>158</v>
      </c>
      <c r="B139">
        <v>0</v>
      </c>
      <c r="C139">
        <v>0</v>
      </c>
      <c r="D139">
        <v>66.666666666666671</v>
      </c>
      <c r="E139">
        <v>-40</v>
      </c>
      <c r="F139">
        <v>66.666666666666671</v>
      </c>
      <c r="G139">
        <v>0</v>
      </c>
      <c r="H139">
        <v>0</v>
      </c>
      <c r="I139">
        <v>0</v>
      </c>
    </row>
    <row r="140" spans="1:9" x14ac:dyDescent="0.25">
      <c r="A140" t="s">
        <v>27</v>
      </c>
      <c r="B140">
        <v>2.1729166666666666</v>
      </c>
      <c r="C140">
        <v>14.505841812287173</v>
      </c>
      <c r="D140">
        <v>17.285258676106853</v>
      </c>
      <c r="E140">
        <v>8.1804931373739826</v>
      </c>
      <c r="F140">
        <v>7.8173244259810248</v>
      </c>
      <c r="G140">
        <v>9.7224753325870186</v>
      </c>
      <c r="H140">
        <v>3.6706172663748204</v>
      </c>
      <c r="I140">
        <v>6.1280540138467696</v>
      </c>
    </row>
    <row r="141" spans="1:9" x14ac:dyDescent="0.25">
      <c r="A141" t="s">
        <v>159</v>
      </c>
      <c r="B141">
        <v>-0.7857979056080312</v>
      </c>
      <c r="C141">
        <v>-16.82156884930577</v>
      </c>
      <c r="D141">
        <v>4.0458608628060633</v>
      </c>
      <c r="E141">
        <v>-14.110417989615629</v>
      </c>
      <c r="F141">
        <v>-12.905821210342053</v>
      </c>
      <c r="G141">
        <v>1.7227604114650952</v>
      </c>
      <c r="H141">
        <v>-5.5593736193608567</v>
      </c>
      <c r="I141">
        <v>8.3002832861189724</v>
      </c>
    </row>
    <row r="142" spans="1:9" x14ac:dyDescent="0.25">
      <c r="A142" t="s">
        <v>160</v>
      </c>
      <c r="B142">
        <v>26.273510971786834</v>
      </c>
      <c r="C142">
        <v>-8.0527540729247473</v>
      </c>
      <c r="D142">
        <v>10.71886601417482</v>
      </c>
      <c r="E142">
        <v>-7.6461013229287254</v>
      </c>
      <c r="F142">
        <v>-0.92363690613323346</v>
      </c>
      <c r="G142">
        <v>-2.7561665119805636</v>
      </c>
      <c r="H142">
        <v>1.334546515914119</v>
      </c>
      <c r="I142">
        <v>-3.3806626098715347</v>
      </c>
    </row>
    <row r="143" spans="1:9" x14ac:dyDescent="0.25">
      <c r="A143" t="s">
        <v>161</v>
      </c>
      <c r="B143">
        <v>19.436693168907681</v>
      </c>
      <c r="C143">
        <v>6.8923701248071412</v>
      </c>
      <c r="D143">
        <v>-10.281472582167682</v>
      </c>
      <c r="E143">
        <v>9.5964571636266243</v>
      </c>
      <c r="F143">
        <v>3.4909497128693858</v>
      </c>
      <c r="G143">
        <v>-1.4698689514428833</v>
      </c>
      <c r="H143">
        <v>-9.1467746214876886</v>
      </c>
      <c r="I143">
        <v>2.8280201974527093</v>
      </c>
    </row>
    <row r="144" spans="1:9" x14ac:dyDescent="0.25">
      <c r="A144" t="s">
        <v>162</v>
      </c>
      <c r="B144">
        <v>-13.669709814150636</v>
      </c>
      <c r="C144">
        <v>17.547918043621944</v>
      </c>
      <c r="D144">
        <v>18.371822161532599</v>
      </c>
      <c r="E144">
        <v>0.16930520401445986</v>
      </c>
      <c r="F144">
        <v>-0.11617942438683776</v>
      </c>
      <c r="G144">
        <v>5.1439519820950235</v>
      </c>
      <c r="H144">
        <v>1.8144933706165551</v>
      </c>
      <c r="I144">
        <v>1.4935774585425343</v>
      </c>
    </row>
    <row r="145" spans="1:9" x14ac:dyDescent="0.25">
      <c r="A145" t="s">
        <v>163</v>
      </c>
      <c r="B145">
        <v>0</v>
      </c>
      <c r="C145">
        <v>16.666666666666664</v>
      </c>
      <c r="D145">
        <v>0</v>
      </c>
      <c r="E145">
        <v>0.46914285714285597</v>
      </c>
      <c r="F145">
        <v>84.56270866392525</v>
      </c>
      <c r="G145">
        <v>-27.27272727272727</v>
      </c>
      <c r="H145">
        <v>5.9322033898305087</v>
      </c>
      <c r="I145">
        <v>-1.2</v>
      </c>
    </row>
    <row r="146" spans="1:9" x14ac:dyDescent="0.25">
      <c r="A146" t="s">
        <v>164</v>
      </c>
      <c r="B146">
        <v>-3.1446640166452497</v>
      </c>
      <c r="C146">
        <v>-3.4475676979596894</v>
      </c>
      <c r="D146">
        <v>-1.6435340709204536</v>
      </c>
      <c r="E146">
        <v>-0.61100565351860314</v>
      </c>
      <c r="F146">
        <v>-9.6124865736695426</v>
      </c>
      <c r="G146">
        <v>5.3243069701104133</v>
      </c>
      <c r="H146">
        <v>-6.0001088356400443</v>
      </c>
      <c r="I146">
        <v>-0.1180983844449762</v>
      </c>
    </row>
    <row r="147" spans="1:9" x14ac:dyDescent="0.25">
      <c r="A147" t="s">
        <v>165</v>
      </c>
      <c r="B147">
        <v>-0.50454086781029261</v>
      </c>
      <c r="C147">
        <v>52.981744421906704</v>
      </c>
      <c r="D147">
        <v>-9.8846459824980197</v>
      </c>
      <c r="E147">
        <v>43.860810711395573</v>
      </c>
      <c r="F147">
        <v>-16.446381999488619</v>
      </c>
      <c r="G147">
        <v>1.6291784458081913</v>
      </c>
      <c r="H147">
        <v>9.2555901500141555</v>
      </c>
      <c r="I147">
        <v>3.2521221475030315</v>
      </c>
    </row>
    <row r="148" spans="1:9" x14ac:dyDescent="0.25">
      <c r="A148" t="s">
        <v>166</v>
      </c>
      <c r="B148">
        <v>0</v>
      </c>
      <c r="C148">
        <v>0</v>
      </c>
      <c r="D148">
        <v>0</v>
      </c>
      <c r="E148">
        <v>0</v>
      </c>
      <c r="F148">
        <v>-2.3809523809523809</v>
      </c>
      <c r="G148">
        <v>0</v>
      </c>
      <c r="H148">
        <v>0</v>
      </c>
      <c r="I148">
        <v>0</v>
      </c>
    </row>
    <row r="149" spans="1:9" x14ac:dyDescent="0.25">
      <c r="A149" t="s">
        <v>3</v>
      </c>
      <c r="B149">
        <v>-3.9593217145758959</v>
      </c>
      <c r="C149">
        <v>-1.3257558055127963</v>
      </c>
      <c r="D149">
        <v>3.5520256533311456</v>
      </c>
      <c r="E149">
        <v>7.2263575361179164</v>
      </c>
      <c r="F149">
        <v>2.571821743520573</v>
      </c>
      <c r="G149">
        <v>11.721590924206469</v>
      </c>
      <c r="H149">
        <v>-0.20248943631449703</v>
      </c>
      <c r="I149">
        <v>-0.70746262160380602</v>
      </c>
    </row>
    <row r="150" spans="1:9" x14ac:dyDescent="0.25">
      <c r="A150" t="s">
        <v>47</v>
      </c>
      <c r="B150">
        <v>-39.411764705882355</v>
      </c>
      <c r="C150">
        <v>-25.001941747572808</v>
      </c>
      <c r="D150">
        <v>484.41642502071244</v>
      </c>
      <c r="E150">
        <v>133.4699302248311</v>
      </c>
      <c r="F150">
        <v>24.003795066413662</v>
      </c>
      <c r="G150">
        <v>30.298393267023719</v>
      </c>
      <c r="H150">
        <v>103.81679389312977</v>
      </c>
      <c r="I150">
        <v>46.730048977239989</v>
      </c>
    </row>
    <row r="151" spans="1:9" x14ac:dyDescent="0.25">
      <c r="A151" t="s">
        <v>167</v>
      </c>
      <c r="B151">
        <v>3.8650826200272532</v>
      </c>
      <c r="C151">
        <v>0.67381238974123814</v>
      </c>
      <c r="D151">
        <v>1.0317887078918235</v>
      </c>
      <c r="E151">
        <v>1.054437528959463</v>
      </c>
      <c r="F151">
        <v>1.0793729475184337</v>
      </c>
      <c r="G151">
        <v>1.2750410710344997</v>
      </c>
      <c r="H151">
        <v>0.59801951432099365</v>
      </c>
      <c r="I151">
        <v>1.5042117930204573</v>
      </c>
    </row>
    <row r="152" spans="1:9" x14ac:dyDescent="0.25">
      <c r="A152" t="s">
        <v>168</v>
      </c>
      <c r="B152">
        <v>-9.1256204658266533</v>
      </c>
      <c r="C152">
        <v>-13.02521008403362</v>
      </c>
      <c r="D152">
        <v>9.6618357487922708</v>
      </c>
      <c r="E152">
        <v>-25.110132158590304</v>
      </c>
      <c r="F152">
        <v>-11.76470588235294</v>
      </c>
      <c r="G152">
        <v>-25.333333333333336</v>
      </c>
      <c r="H152">
        <v>-10.714285714285708</v>
      </c>
      <c r="I152">
        <v>10</v>
      </c>
    </row>
    <row r="153" spans="1:9" x14ac:dyDescent="0.25">
      <c r="A153" t="s">
        <v>169</v>
      </c>
      <c r="B153">
        <v>-7.7790063579021451</v>
      </c>
      <c r="C153">
        <v>12.409564684242808</v>
      </c>
      <c r="D153">
        <v>-10.857786989564024</v>
      </c>
      <c r="E153">
        <v>-18.131563441883657</v>
      </c>
      <c r="F153">
        <v>-45.896462348466486</v>
      </c>
      <c r="G153">
        <v>72.020246102809381</v>
      </c>
      <c r="H153">
        <v>76.181362314185264</v>
      </c>
      <c r="I153">
        <v>24.440015834951868</v>
      </c>
    </row>
    <row r="154" spans="1:9" x14ac:dyDescent="0.25">
      <c r="A154" t="s">
        <v>170</v>
      </c>
      <c r="B154">
        <v>-0.67934782608695654</v>
      </c>
      <c r="C154">
        <v>-12.418522571819423</v>
      </c>
      <c r="D154">
        <v>-22.804733243510132</v>
      </c>
      <c r="E154">
        <v>-8.0976083525555378</v>
      </c>
      <c r="F154">
        <v>2.2457067371202113</v>
      </c>
      <c r="G154">
        <v>0.8613264427217916</v>
      </c>
      <c r="H154">
        <v>5.123825789923143</v>
      </c>
      <c r="I154">
        <v>3.6555645816409426</v>
      </c>
    </row>
    <row r="155" spans="1:9" x14ac:dyDescent="0.25">
      <c r="A155" t="s">
        <v>171</v>
      </c>
      <c r="B155">
        <v>0.22403018511967929</v>
      </c>
      <c r="C155">
        <v>26.835294117647056</v>
      </c>
      <c r="D155">
        <v>7.0030609405435484</v>
      </c>
      <c r="E155">
        <v>10.523578363384187</v>
      </c>
      <c r="F155">
        <v>10.588235294117647</v>
      </c>
      <c r="G155">
        <v>0.3546099290780142</v>
      </c>
      <c r="H155">
        <v>41.342756183745585</v>
      </c>
      <c r="I155">
        <v>0.75</v>
      </c>
    </row>
    <row r="156" spans="1:9" x14ac:dyDescent="0.25">
      <c r="A156" t="s">
        <v>38</v>
      </c>
      <c r="B156">
        <v>10.124256318612515</v>
      </c>
      <c r="C156">
        <v>0.27070337862690619</v>
      </c>
      <c r="D156">
        <v>40.580017432098238</v>
      </c>
      <c r="E156">
        <v>14.200271936049557</v>
      </c>
      <c r="F156">
        <v>-10.819105068516631</v>
      </c>
      <c r="G156">
        <v>4.858434614787055</v>
      </c>
      <c r="H156">
        <v>-6.5555799374734711</v>
      </c>
      <c r="I156">
        <v>-25.436865472825858</v>
      </c>
    </row>
    <row r="157" spans="1:9" x14ac:dyDescent="0.25">
      <c r="A157" t="s">
        <v>172</v>
      </c>
      <c r="B157">
        <v>-6.270731794567574</v>
      </c>
      <c r="C157">
        <v>1.6754304061991991</v>
      </c>
      <c r="D157">
        <v>2.9749813990339549</v>
      </c>
      <c r="E157">
        <v>2.3380726767778164</v>
      </c>
      <c r="F157">
        <v>-1.501415181787374</v>
      </c>
      <c r="G157">
        <v>-3.2940680546423504</v>
      </c>
      <c r="H157">
        <v>4.582447265977204</v>
      </c>
      <c r="I157">
        <v>1.48010399812298</v>
      </c>
    </row>
    <row r="158" spans="1:9" x14ac:dyDescent="0.25">
      <c r="A158" t="s">
        <v>18</v>
      </c>
      <c r="B158">
        <v>5.6388149574906103</v>
      </c>
      <c r="C158">
        <v>-9.4510871965894458E-2</v>
      </c>
      <c r="D158">
        <v>3.9183195222835456</v>
      </c>
      <c r="E158">
        <v>7.9449148800844291</v>
      </c>
      <c r="F158">
        <v>14.314650644063736</v>
      </c>
      <c r="G158">
        <v>-12.787804383776342</v>
      </c>
      <c r="H158">
        <v>6.5428465646895999</v>
      </c>
      <c r="I158">
        <v>-3.6372570557268737</v>
      </c>
    </row>
    <row r="159" spans="1:9" x14ac:dyDescent="0.25">
      <c r="A159" t="s">
        <v>12</v>
      </c>
      <c r="B159">
        <v>2.3505899271307045</v>
      </c>
      <c r="C159">
        <v>27.801129176943213</v>
      </c>
      <c r="D159">
        <v>11.851201639813439</v>
      </c>
      <c r="E159">
        <v>-2.1471104358918724</v>
      </c>
      <c r="F159">
        <v>50.524842649463821</v>
      </c>
      <c r="G159">
        <v>-5.1753420150708385</v>
      </c>
      <c r="H159">
        <v>-3.3031027596432643</v>
      </c>
      <c r="I159">
        <v>18.795221210838264</v>
      </c>
    </row>
    <row r="160" spans="1:9" x14ac:dyDescent="0.25">
      <c r="A160" t="s">
        <v>173</v>
      </c>
      <c r="B160">
        <v>-20</v>
      </c>
      <c r="C160">
        <v>0</v>
      </c>
      <c r="D160">
        <v>0</v>
      </c>
      <c r="E160">
        <v>0</v>
      </c>
      <c r="F160">
        <v>-31.25</v>
      </c>
      <c r="G160">
        <v>0</v>
      </c>
      <c r="H160">
        <v>0</v>
      </c>
      <c r="I160">
        <v>0</v>
      </c>
    </row>
    <row r="161" spans="1:9" x14ac:dyDescent="0.25">
      <c r="A161" t="s">
        <v>174</v>
      </c>
      <c r="B161">
        <v>0</v>
      </c>
      <c r="C161">
        <v>0</v>
      </c>
      <c r="D161">
        <v>0</v>
      </c>
      <c r="E161">
        <v>120</v>
      </c>
      <c r="F161">
        <v>3.6363636363636398</v>
      </c>
      <c r="G161">
        <v>399.56140350877195</v>
      </c>
      <c r="H161">
        <v>-14.095697980684815</v>
      </c>
      <c r="I161">
        <v>-29.153252593387506</v>
      </c>
    </row>
    <row r="162" spans="1:9" x14ac:dyDescent="0.25">
      <c r="A162" t="s">
        <v>22</v>
      </c>
      <c r="B162">
        <v>13.877168723647751</v>
      </c>
      <c r="C162">
        <v>1.7828015361821155</v>
      </c>
      <c r="D162">
        <v>-3.9048459939679017</v>
      </c>
      <c r="E162">
        <v>4.4667173505604323</v>
      </c>
      <c r="F162">
        <v>-3.7110437774225264</v>
      </c>
      <c r="G162">
        <v>-5.3108075337482825</v>
      </c>
      <c r="H162">
        <v>-4.2958852654942747</v>
      </c>
      <c r="I162">
        <v>0.477397647621295</v>
      </c>
    </row>
    <row r="163" spans="1:9" x14ac:dyDescent="0.25">
      <c r="A163" t="s">
        <v>7</v>
      </c>
      <c r="B163">
        <v>12.938007140538785</v>
      </c>
      <c r="C163">
        <v>7.2226277582034815</v>
      </c>
      <c r="D163">
        <v>9.3729730309251824</v>
      </c>
      <c r="E163">
        <v>21.693165777917191</v>
      </c>
      <c r="F163">
        <v>17.278376756493337</v>
      </c>
      <c r="G163">
        <v>9.6664079617025074</v>
      </c>
      <c r="H163">
        <v>9.0326358574819476</v>
      </c>
      <c r="I163">
        <v>4.9059844279079918</v>
      </c>
    </row>
    <row r="164" spans="1:9" x14ac:dyDescent="0.25">
      <c r="A164" t="s">
        <v>175</v>
      </c>
      <c r="B164">
        <v>-2.4781161385772434</v>
      </c>
      <c r="C164">
        <v>112.32616940581541</v>
      </c>
      <c r="D164">
        <v>5.9541530217326581</v>
      </c>
      <c r="E164">
        <v>8.2326496206799664</v>
      </c>
      <c r="F164">
        <v>27.949117341640715</v>
      </c>
      <c r="G164">
        <v>17.747433348212468</v>
      </c>
      <c r="H164">
        <v>6.8702290076335837</v>
      </c>
      <c r="I164">
        <v>17.736214124475975</v>
      </c>
    </row>
    <row r="165" spans="1:9" x14ac:dyDescent="0.25">
      <c r="A165" t="s">
        <v>176</v>
      </c>
      <c r="B165">
        <v>-10.044977511244376</v>
      </c>
      <c r="C165">
        <v>0.99999999999999345</v>
      </c>
      <c r="D165">
        <v>23.176567656765688</v>
      </c>
      <c r="E165">
        <v>2.4850961216424441</v>
      </c>
      <c r="F165">
        <v>-34.549019607843142</v>
      </c>
      <c r="G165">
        <v>-0.13980427401637055</v>
      </c>
      <c r="H165">
        <v>0</v>
      </c>
      <c r="I165">
        <v>32.54</v>
      </c>
    </row>
    <row r="166" spans="1:9" x14ac:dyDescent="0.25">
      <c r="A166" t="s">
        <v>177</v>
      </c>
      <c r="B166" t="s">
        <v>61</v>
      </c>
      <c r="C166" t="s">
        <v>61</v>
      </c>
      <c r="D166" t="s">
        <v>61</v>
      </c>
      <c r="E166" t="s">
        <v>61</v>
      </c>
      <c r="F166" t="s">
        <v>61</v>
      </c>
      <c r="G166" t="s">
        <v>61</v>
      </c>
      <c r="H166" t="s">
        <v>61</v>
      </c>
      <c r="I166" t="s">
        <v>61</v>
      </c>
    </row>
    <row r="167" spans="1:9" x14ac:dyDescent="0.25">
      <c r="A167" t="s">
        <v>178</v>
      </c>
      <c r="B167" t="s">
        <v>61</v>
      </c>
      <c r="C167" t="s">
        <v>61</v>
      </c>
      <c r="D167" t="s">
        <v>61</v>
      </c>
      <c r="E167" t="s">
        <v>61</v>
      </c>
      <c r="F167" t="s">
        <v>61</v>
      </c>
      <c r="G167" t="s">
        <v>61</v>
      </c>
      <c r="H167" t="s">
        <v>61</v>
      </c>
      <c r="I167" t="s">
        <v>61</v>
      </c>
    </row>
    <row r="168" spans="1:9" x14ac:dyDescent="0.25">
      <c r="A168" t="s">
        <v>48</v>
      </c>
      <c r="B168">
        <v>33.15</v>
      </c>
      <c r="C168">
        <v>37.751908874702714</v>
      </c>
      <c r="D168">
        <v>30.895047705588368</v>
      </c>
      <c r="E168">
        <v>4.9119055883373868</v>
      </c>
      <c r="F168">
        <v>32.216646286267846</v>
      </c>
      <c r="G168">
        <v>14.596693311552988</v>
      </c>
      <c r="H168">
        <v>4.6773132176303021</v>
      </c>
      <c r="I168">
        <v>15.835744092145919</v>
      </c>
    </row>
    <row r="169" spans="1:9" x14ac:dyDescent="0.25">
      <c r="A169" t="s">
        <v>179</v>
      </c>
      <c r="B169">
        <v>71.449896907216498</v>
      </c>
      <c r="C169">
        <v>-51.381305830683601</v>
      </c>
      <c r="D169">
        <v>9.6269911942218211</v>
      </c>
      <c r="E169">
        <v>-8.8447653429602884</v>
      </c>
      <c r="F169">
        <v>9.9009900990099009</v>
      </c>
      <c r="G169">
        <v>9.954954954954955</v>
      </c>
      <c r="H169">
        <v>42.490782466202369</v>
      </c>
      <c r="I169">
        <v>118.56707492381118</v>
      </c>
    </row>
    <row r="170" spans="1:9" x14ac:dyDescent="0.25">
      <c r="A170" t="s">
        <v>180</v>
      </c>
      <c r="B170">
        <v>-6.8950859618248286</v>
      </c>
      <c r="C170">
        <v>-26.288156146131104</v>
      </c>
      <c r="D170">
        <v>44.757527639975152</v>
      </c>
      <c r="E170">
        <v>-7.2482864812568897</v>
      </c>
      <c r="F170">
        <v>-11.701732245984516</v>
      </c>
      <c r="G170">
        <v>21.590247343708928</v>
      </c>
      <c r="H170">
        <v>-20.955706777195608</v>
      </c>
      <c r="I170">
        <v>0.51761716065347241</v>
      </c>
    </row>
    <row r="171" spans="1:9" x14ac:dyDescent="0.25">
      <c r="A171" t="s">
        <v>181</v>
      </c>
      <c r="B171">
        <v>-100</v>
      </c>
      <c r="C171" t="s">
        <v>61</v>
      </c>
      <c r="D171">
        <v>-100</v>
      </c>
      <c r="E171" t="s">
        <v>61</v>
      </c>
      <c r="F171" t="s">
        <v>61</v>
      </c>
      <c r="G171" t="s">
        <v>61</v>
      </c>
      <c r="H171" t="s">
        <v>61</v>
      </c>
      <c r="I171" t="s">
        <v>61</v>
      </c>
    </row>
    <row r="172" spans="1:9" x14ac:dyDescent="0.25">
      <c r="A172" t="s">
        <v>182</v>
      </c>
      <c r="B172">
        <v>0</v>
      </c>
      <c r="C172">
        <v>0</v>
      </c>
      <c r="D172">
        <v>17.647058823529413</v>
      </c>
      <c r="E172">
        <v>0</v>
      </c>
      <c r="F172">
        <v>15</v>
      </c>
      <c r="G172">
        <v>17.391304347826086</v>
      </c>
      <c r="H172">
        <v>18.518518518518519</v>
      </c>
      <c r="I172">
        <v>15.625</v>
      </c>
    </row>
    <row r="173" spans="1:9" x14ac:dyDescent="0.25">
      <c r="A173" t="s">
        <v>183</v>
      </c>
      <c r="B173">
        <v>-11.367453301729885</v>
      </c>
      <c r="C173">
        <v>-4.5578296177205413</v>
      </c>
      <c r="D173">
        <v>-2.2647618949667212</v>
      </c>
      <c r="E173">
        <v>2.2747980452672554</v>
      </c>
      <c r="F173">
        <v>-17.191576564603398</v>
      </c>
      <c r="G173">
        <v>8.5882784903814589</v>
      </c>
      <c r="H173">
        <v>-9.504108274448452</v>
      </c>
      <c r="I173">
        <v>-11.341542313195839</v>
      </c>
    </row>
    <row r="174" spans="1:9" x14ac:dyDescent="0.25">
      <c r="A174" t="s">
        <v>184</v>
      </c>
      <c r="B174" t="s">
        <v>61</v>
      </c>
      <c r="C174" t="s">
        <v>61</v>
      </c>
      <c r="D174" t="s">
        <v>61</v>
      </c>
      <c r="E174" t="s">
        <v>61</v>
      </c>
      <c r="F174" t="s">
        <v>61</v>
      </c>
      <c r="G174" t="s">
        <v>61</v>
      </c>
      <c r="H174" t="s">
        <v>61</v>
      </c>
      <c r="I174" t="s">
        <v>61</v>
      </c>
    </row>
    <row r="175" spans="1:9" x14ac:dyDescent="0.25">
      <c r="A175" t="s">
        <v>185</v>
      </c>
      <c r="B175">
        <v>65.719110825825481</v>
      </c>
      <c r="C175">
        <v>22.023563046134694</v>
      </c>
      <c r="D175">
        <v>-15.941493365741296</v>
      </c>
      <c r="E175">
        <v>20.820352363098536</v>
      </c>
      <c r="F175">
        <v>-14.568713395893642</v>
      </c>
      <c r="G175">
        <v>9.494773519163763</v>
      </c>
      <c r="H175">
        <v>3.9777247414478918</v>
      </c>
      <c r="I175">
        <v>5.8913542463657231</v>
      </c>
    </row>
    <row r="176" spans="1:9" x14ac:dyDescent="0.25">
      <c r="A176" t="s">
        <v>4</v>
      </c>
      <c r="B176">
        <v>14.933217907494434</v>
      </c>
      <c r="C176">
        <v>-5.842793350191001</v>
      </c>
      <c r="D176">
        <v>11.050797097308731</v>
      </c>
      <c r="E176">
        <v>10.311294057113459</v>
      </c>
      <c r="F176">
        <v>-21.983301459956163</v>
      </c>
      <c r="G176">
        <v>0.79516919765635441</v>
      </c>
      <c r="H176">
        <v>-2.5031140637048486</v>
      </c>
      <c r="I176">
        <v>-30.717284175944521</v>
      </c>
    </row>
    <row r="177" spans="1:9" x14ac:dyDescent="0.25">
      <c r="A177" t="s">
        <v>186</v>
      </c>
      <c r="B177">
        <v>-13.246742604277637</v>
      </c>
      <c r="C177">
        <v>-54.786756718462193</v>
      </c>
      <c r="D177">
        <v>15.460148333855637</v>
      </c>
      <c r="E177">
        <v>1.4566181127295756</v>
      </c>
      <c r="F177">
        <v>-1.7834849295523454</v>
      </c>
      <c r="G177">
        <v>126.32540403123298</v>
      </c>
      <c r="H177">
        <v>-4.6891222056942823</v>
      </c>
      <c r="I177">
        <v>-94.022139351645293</v>
      </c>
    </row>
    <row r="178" spans="1:9" x14ac:dyDescent="0.25">
      <c r="A178" t="s">
        <v>187</v>
      </c>
      <c r="B178" t="s">
        <v>61</v>
      </c>
      <c r="C178" t="s">
        <v>61</v>
      </c>
      <c r="D178" t="s">
        <v>61</v>
      </c>
      <c r="E178" t="s">
        <v>61</v>
      </c>
      <c r="F178" t="s">
        <v>61</v>
      </c>
      <c r="G178" t="s">
        <v>61</v>
      </c>
      <c r="H178" t="s">
        <v>61</v>
      </c>
      <c r="I178" t="s">
        <v>61</v>
      </c>
    </row>
    <row r="179" spans="1:9" x14ac:dyDescent="0.25">
      <c r="A179" t="s">
        <v>188</v>
      </c>
      <c r="B179">
        <v>20.264323071437072</v>
      </c>
      <c r="C179">
        <v>-21.693741375071511</v>
      </c>
      <c r="D179">
        <v>26.083094573956515</v>
      </c>
      <c r="E179">
        <v>15.425918626549286</v>
      </c>
      <c r="F179">
        <v>5.7314793936030028</v>
      </c>
      <c r="G179">
        <v>6.0867362998704957</v>
      </c>
      <c r="H179">
        <v>9.7458597710370096</v>
      </c>
      <c r="I179">
        <v>-23.726950723116303</v>
      </c>
    </row>
    <row r="180" spans="1:9" x14ac:dyDescent="0.25">
      <c r="A180" t="s">
        <v>189</v>
      </c>
      <c r="B180">
        <v>20</v>
      </c>
      <c r="C180">
        <v>12.5</v>
      </c>
      <c r="D180">
        <v>11.111111111111111</v>
      </c>
      <c r="E180">
        <v>16.666666666666664</v>
      </c>
      <c r="F180">
        <v>14.285714285714285</v>
      </c>
      <c r="G180">
        <v>12.5</v>
      </c>
      <c r="H180">
        <v>4.4444444444444446</v>
      </c>
      <c r="I180">
        <v>6.3829787234042552</v>
      </c>
    </row>
    <row r="181" spans="1:9" x14ac:dyDescent="0.25">
      <c r="A181" t="s">
        <v>24</v>
      </c>
      <c r="B181">
        <v>-2.0737316561850636</v>
      </c>
      <c r="C181">
        <v>9.6210342860688627</v>
      </c>
      <c r="D181">
        <v>12.299173445448616</v>
      </c>
      <c r="E181">
        <v>-12.95870300735786</v>
      </c>
      <c r="F181">
        <v>-11.172159866501218</v>
      </c>
      <c r="G181">
        <v>1.1987851294608418</v>
      </c>
      <c r="H181">
        <v>-1.3871954556129873</v>
      </c>
      <c r="I181">
        <v>-10.970363272176352</v>
      </c>
    </row>
    <row r="182" spans="1:9" x14ac:dyDescent="0.25">
      <c r="A182" t="s">
        <v>190</v>
      </c>
      <c r="B182">
        <v>-14.050627467031095</v>
      </c>
      <c r="C182">
        <v>-7.1609874276091574</v>
      </c>
      <c r="D182">
        <v>7.5298649054672078</v>
      </c>
      <c r="E182">
        <v>10.238940852081367</v>
      </c>
      <c r="F182">
        <v>23.561165694511399</v>
      </c>
      <c r="G182">
        <v>21.031712604080354</v>
      </c>
      <c r="H182">
        <v>15.895458885895437</v>
      </c>
      <c r="I182">
        <v>3.0597513993245449</v>
      </c>
    </row>
    <row r="183" spans="1:9" x14ac:dyDescent="0.25">
      <c r="A183" t="s">
        <v>191</v>
      </c>
      <c r="B183">
        <v>-33.333333333333329</v>
      </c>
      <c r="C183">
        <v>100</v>
      </c>
      <c r="D183">
        <v>25</v>
      </c>
      <c r="E183">
        <v>0</v>
      </c>
      <c r="F183">
        <v>40</v>
      </c>
      <c r="G183">
        <v>0</v>
      </c>
      <c r="H183">
        <v>14.285714285714285</v>
      </c>
      <c r="I183">
        <v>0</v>
      </c>
    </row>
    <row r="184" spans="1:9" x14ac:dyDescent="0.25">
      <c r="A184" t="s">
        <v>192</v>
      </c>
      <c r="B184">
        <v>24.291187739463584</v>
      </c>
      <c r="C184">
        <v>-15.382244143033288</v>
      </c>
      <c r="D184">
        <v>118.5792349726776</v>
      </c>
      <c r="E184">
        <v>99.536666666666662</v>
      </c>
      <c r="F184">
        <v>-23.247189321929131</v>
      </c>
      <c r="G184">
        <v>129.31766242246164</v>
      </c>
      <c r="H184">
        <v>-0.6121867881548938</v>
      </c>
      <c r="I184">
        <v>-24.881822088526004</v>
      </c>
    </row>
    <row r="185" spans="1:9" x14ac:dyDescent="0.25">
      <c r="A185" t="s">
        <v>193</v>
      </c>
      <c r="B185" t="s">
        <v>61</v>
      </c>
      <c r="C185" t="s">
        <v>61</v>
      </c>
      <c r="D185" t="s">
        <v>61</v>
      </c>
      <c r="E185" t="s">
        <v>61</v>
      </c>
      <c r="F185" t="s">
        <v>61</v>
      </c>
      <c r="G185" t="s">
        <v>61</v>
      </c>
      <c r="H185" t="s">
        <v>61</v>
      </c>
      <c r="I185" t="s">
        <v>61</v>
      </c>
    </row>
    <row r="186" spans="1:9" x14ac:dyDescent="0.25">
      <c r="A186" t="s">
        <v>194</v>
      </c>
      <c r="B186">
        <v>0</v>
      </c>
      <c r="C186">
        <v>-21.428571428571416</v>
      </c>
      <c r="D186">
        <v>-9.0909090909090988</v>
      </c>
      <c r="E186">
        <v>-76</v>
      </c>
      <c r="F186">
        <v>5345.8333333333339</v>
      </c>
      <c r="G186">
        <v>-0.53557765876052243</v>
      </c>
      <c r="H186">
        <v>0</v>
      </c>
      <c r="I186">
        <v>0</v>
      </c>
    </row>
    <row r="187" spans="1:9" x14ac:dyDescent="0.25">
      <c r="A187" t="s">
        <v>195</v>
      </c>
      <c r="B187">
        <v>-14.285714285714285</v>
      </c>
      <c r="C187">
        <v>8.3333333333333321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-15.384615384615385</v>
      </c>
    </row>
    <row r="188" spans="1:9" x14ac:dyDescent="0.25">
      <c r="A188" t="s">
        <v>196</v>
      </c>
      <c r="B188">
        <v>-16.427928296635841</v>
      </c>
      <c r="C188">
        <v>4.5543584720861956</v>
      </c>
      <c r="D188">
        <v>-32.177985948477748</v>
      </c>
      <c r="E188">
        <v>-4.0055248618784605</v>
      </c>
      <c r="F188">
        <v>-46.762589928057551</v>
      </c>
      <c r="G188">
        <v>8.1081081081081088</v>
      </c>
      <c r="H188">
        <v>12.5</v>
      </c>
      <c r="I188">
        <v>0</v>
      </c>
    </row>
    <row r="189" spans="1:9" x14ac:dyDescent="0.25">
      <c r="A189" t="s">
        <v>2</v>
      </c>
      <c r="B189">
        <v>31.006655574043261</v>
      </c>
      <c r="C189">
        <v>-6.0582968184416082</v>
      </c>
      <c r="D189">
        <v>-11.478401946866763</v>
      </c>
      <c r="E189">
        <v>-11.574646811760219</v>
      </c>
      <c r="F189">
        <v>5.2766574836129996</v>
      </c>
      <c r="G189">
        <v>26.354560593258579</v>
      </c>
      <c r="H189">
        <v>-26.461079010582349</v>
      </c>
      <c r="I189">
        <v>0.86517409421569325</v>
      </c>
    </row>
    <row r="190" spans="1:9" x14ac:dyDescent="0.25">
      <c r="A190" t="s">
        <v>42</v>
      </c>
      <c r="B190">
        <v>8.7884494664155675</v>
      </c>
      <c r="C190">
        <v>0</v>
      </c>
      <c r="D190">
        <v>6.3473744950952105</v>
      </c>
      <c r="E190">
        <v>27.94899620184481</v>
      </c>
      <c r="F190">
        <v>0</v>
      </c>
      <c r="G190">
        <v>0.25020143335736783</v>
      </c>
      <c r="H190">
        <v>5.7529610829103213</v>
      </c>
      <c r="I190">
        <v>0</v>
      </c>
    </row>
    <row r="191" spans="1:9" x14ac:dyDescent="0.25">
      <c r="A191" t="s">
        <v>197</v>
      </c>
      <c r="B191">
        <v>0</v>
      </c>
      <c r="C191">
        <v>-6</v>
      </c>
      <c r="D191">
        <v>-5.3191489361702127</v>
      </c>
      <c r="E191">
        <v>-3.3707865168539324</v>
      </c>
      <c r="F191">
        <v>-13.720930232558141</v>
      </c>
      <c r="G191">
        <v>-2.6954177897574128</v>
      </c>
      <c r="H191">
        <v>-2.7700831024930745</v>
      </c>
      <c r="I191">
        <v>-5.6980056980056979</v>
      </c>
    </row>
    <row r="192" spans="1:9" x14ac:dyDescent="0.25">
      <c r="A192" t="s">
        <v>15</v>
      </c>
      <c r="B192">
        <v>-2.4444444444444446</v>
      </c>
      <c r="C192">
        <v>7.0615034168564916</v>
      </c>
      <c r="D192">
        <v>8.9361702127659584</v>
      </c>
      <c r="E192">
        <v>43.75</v>
      </c>
      <c r="F192">
        <v>5.2989130434782608</v>
      </c>
      <c r="G192">
        <v>163.09677419354838</v>
      </c>
      <c r="H192">
        <v>10.250122609122119</v>
      </c>
      <c r="I192">
        <v>4.4483985765124556</v>
      </c>
    </row>
    <row r="193" spans="1:9" x14ac:dyDescent="0.25">
      <c r="A193" t="s">
        <v>31</v>
      </c>
      <c r="B193">
        <v>16.80475135447114</v>
      </c>
      <c r="C193">
        <v>56.223600108388993</v>
      </c>
      <c r="D193">
        <v>-14.028058361391688</v>
      </c>
      <c r="E193">
        <v>6.8903681532759498</v>
      </c>
      <c r="F193">
        <v>4.8450597888238658</v>
      </c>
      <c r="G193">
        <v>243.66088183092799</v>
      </c>
      <c r="H193">
        <v>16.935233179461768</v>
      </c>
      <c r="I193">
        <v>60.87228048744462</v>
      </c>
    </row>
    <row r="194" spans="1:9" x14ac:dyDescent="0.25">
      <c r="A194" t="s">
        <v>198</v>
      </c>
      <c r="B194">
        <v>4.6198629133040114</v>
      </c>
      <c r="C194">
        <v>-7.1192322740466993</v>
      </c>
      <c r="D194">
        <v>2.9430050481913446</v>
      </c>
      <c r="E194">
        <v>4.5536537615609616</v>
      </c>
      <c r="F194">
        <v>5.0112256572308596</v>
      </c>
      <c r="G194">
        <v>-2.0448070166419847</v>
      </c>
      <c r="H194">
        <v>1.0263873385988247</v>
      </c>
      <c r="I194">
        <v>1.9779745540566461E-2</v>
      </c>
    </row>
    <row r="195" spans="1:9" x14ac:dyDescent="0.25">
      <c r="A195" t="s">
        <v>28</v>
      </c>
      <c r="B195">
        <v>6.7444876783398184</v>
      </c>
      <c r="C195">
        <v>20.656136087484811</v>
      </c>
      <c r="D195">
        <v>-1.2084592145015105</v>
      </c>
      <c r="E195">
        <v>3.7716615698267071</v>
      </c>
      <c r="F195">
        <v>4.1257367387033401</v>
      </c>
      <c r="G195">
        <v>2.9245283018867925</v>
      </c>
      <c r="H195">
        <v>3.1164069660861595</v>
      </c>
      <c r="I195">
        <v>3.5555555555555554</v>
      </c>
    </row>
    <row r="196" spans="1:9" x14ac:dyDescent="0.25">
      <c r="A196" t="s">
        <v>199</v>
      </c>
      <c r="B196">
        <v>68.965517241379317</v>
      </c>
      <c r="C196">
        <v>34.693877551020407</v>
      </c>
      <c r="D196">
        <v>119.6969696969697</v>
      </c>
      <c r="E196">
        <v>244.82758620689654</v>
      </c>
      <c r="F196">
        <v>-27</v>
      </c>
      <c r="G196">
        <v>20.82191780821918</v>
      </c>
      <c r="H196">
        <v>30.498866213151928</v>
      </c>
      <c r="I196">
        <v>36.229365768896606</v>
      </c>
    </row>
    <row r="197" spans="1:9" x14ac:dyDescent="0.25">
      <c r="A197" t="s">
        <v>200</v>
      </c>
      <c r="B197">
        <v>-63.365560491246406</v>
      </c>
      <c r="C197">
        <v>232.85782215882071</v>
      </c>
      <c r="D197">
        <v>14.285714285714285</v>
      </c>
      <c r="E197">
        <v>12.5</v>
      </c>
      <c r="F197">
        <v>16.888888888888893</v>
      </c>
      <c r="G197">
        <v>-4.9429657794676833</v>
      </c>
      <c r="H197">
        <v>0</v>
      </c>
      <c r="I197">
        <v>0</v>
      </c>
    </row>
    <row r="198" spans="1:9" x14ac:dyDescent="0.25">
      <c r="A198" t="s">
        <v>201</v>
      </c>
      <c r="B198">
        <v>-53.361344537815128</v>
      </c>
      <c r="C198">
        <v>-32.882882882882882</v>
      </c>
      <c r="D198">
        <v>0</v>
      </c>
      <c r="E198">
        <v>624.83221476510062</v>
      </c>
      <c r="F198">
        <v>-92.222222222222214</v>
      </c>
      <c r="G198">
        <v>333.33333333333331</v>
      </c>
      <c r="H198">
        <v>-59.340659340659343</v>
      </c>
      <c r="I198">
        <v>-25.675675675675681</v>
      </c>
    </row>
    <row r="199" spans="1:9" x14ac:dyDescent="0.25">
      <c r="A199" t="s">
        <v>202</v>
      </c>
      <c r="B199">
        <v>10.758365331870543</v>
      </c>
      <c r="C199">
        <v>35.782826719494828</v>
      </c>
      <c r="D199">
        <v>-0.48693749145123455</v>
      </c>
      <c r="E199">
        <v>10.982214036341643</v>
      </c>
      <c r="F199">
        <v>-2.4443508702401093</v>
      </c>
      <c r="G199">
        <v>10.444223925251059</v>
      </c>
      <c r="H199">
        <v>-19.82103272573454</v>
      </c>
      <c r="I199">
        <v>1.6869589908887241</v>
      </c>
    </row>
    <row r="200" spans="1:9" x14ac:dyDescent="0.25">
      <c r="A200" t="s">
        <v>203</v>
      </c>
      <c r="B200">
        <v>5.4345202925928087</v>
      </c>
      <c r="C200">
        <v>9.1189644625979192</v>
      </c>
      <c r="D200">
        <v>13.755777535063038</v>
      </c>
      <c r="E200">
        <v>18.700184715947568</v>
      </c>
      <c r="F200">
        <v>12.871093540749312</v>
      </c>
      <c r="G200">
        <v>11.93015844389444</v>
      </c>
      <c r="H200">
        <v>9.1452788507608886</v>
      </c>
      <c r="I200">
        <v>8.0557783937392067</v>
      </c>
    </row>
    <row r="201" spans="1:9" x14ac:dyDescent="0.25">
      <c r="A201" t="s">
        <v>204</v>
      </c>
      <c r="B201">
        <v>50</v>
      </c>
      <c r="C201">
        <v>6.666666666666667</v>
      </c>
      <c r="D201">
        <v>50</v>
      </c>
      <c r="E201">
        <v>16.666666666666664</v>
      </c>
      <c r="F201">
        <v>7.1428571428571423</v>
      </c>
      <c r="G201">
        <v>6.666666666666667</v>
      </c>
      <c r="H201">
        <v>9.375</v>
      </c>
      <c r="I201">
        <v>2.8571428571428572</v>
      </c>
    </row>
    <row r="202" spans="1:9" x14ac:dyDescent="0.25">
      <c r="A202" t="s">
        <v>205</v>
      </c>
      <c r="B202">
        <v>0</v>
      </c>
      <c r="C202">
        <v>0</v>
      </c>
      <c r="D202">
        <v>0</v>
      </c>
      <c r="E202">
        <v>-100</v>
      </c>
      <c r="F202" t="s">
        <v>61</v>
      </c>
      <c r="G202" t="s">
        <v>61</v>
      </c>
      <c r="H202" t="s">
        <v>61</v>
      </c>
      <c r="I202" t="s">
        <v>61</v>
      </c>
    </row>
    <row r="203" spans="1:9" x14ac:dyDescent="0.25">
      <c r="A203" t="s">
        <v>206</v>
      </c>
      <c r="B203">
        <v>-60</v>
      </c>
      <c r="C203">
        <v>0</v>
      </c>
      <c r="D203">
        <v>-60</v>
      </c>
      <c r="E203">
        <v>0</v>
      </c>
      <c r="F203">
        <v>0</v>
      </c>
      <c r="G203">
        <v>-50</v>
      </c>
      <c r="H203">
        <v>-100</v>
      </c>
      <c r="I203" t="s">
        <v>61</v>
      </c>
    </row>
    <row r="204" spans="1:9" x14ac:dyDescent="0.25">
      <c r="A204" t="s">
        <v>45</v>
      </c>
      <c r="B204">
        <v>0.39221022195764699</v>
      </c>
      <c r="C204">
        <v>-4.8348513187498234</v>
      </c>
      <c r="D204">
        <v>-7.660961550101657</v>
      </c>
      <c r="E204">
        <v>-0.7656863028620482</v>
      </c>
      <c r="F204">
        <v>20.35530445577977</v>
      </c>
      <c r="G204">
        <v>11.833539149454785</v>
      </c>
      <c r="H204">
        <v>-26.801983856626517</v>
      </c>
      <c r="I204">
        <v>28.157598943030109</v>
      </c>
    </row>
    <row r="205" spans="1:9" x14ac:dyDescent="0.25">
      <c r="A205" t="s">
        <v>29</v>
      </c>
      <c r="B205">
        <v>-3.671997590068929</v>
      </c>
      <c r="C205">
        <v>-5.8642868478291215</v>
      </c>
      <c r="D205">
        <v>-7.7982665780783629</v>
      </c>
      <c r="E205">
        <v>4.4537824616044067E-2</v>
      </c>
      <c r="F205">
        <v>-0.19305824558024268</v>
      </c>
      <c r="G205">
        <v>-9.0801730049166718</v>
      </c>
      <c r="H205">
        <v>-13.338666095479827</v>
      </c>
      <c r="I205">
        <v>4.3801913875598091</v>
      </c>
    </row>
    <row r="206" spans="1:9" x14ac:dyDescent="0.25">
      <c r="A206" t="s">
        <v>207</v>
      </c>
      <c r="B206">
        <v>239.86075949367088</v>
      </c>
      <c r="C206">
        <v>21.233565495921631</v>
      </c>
      <c r="D206">
        <v>-0.76804915514592931</v>
      </c>
      <c r="E206">
        <v>0.30959752321981426</v>
      </c>
      <c r="F206">
        <v>-5.9327469135802469</v>
      </c>
      <c r="G206">
        <v>-12.626801352722753</v>
      </c>
      <c r="H206">
        <v>32.370889039265592</v>
      </c>
      <c r="I206">
        <v>-35.947188053197777</v>
      </c>
    </row>
    <row r="207" spans="1:9" x14ac:dyDescent="0.25">
      <c r="A207" t="s">
        <v>208</v>
      </c>
      <c r="B207">
        <v>-8.1471072120702495</v>
      </c>
      <c r="C207">
        <v>17.035445863497969</v>
      </c>
      <c r="D207">
        <v>-16.570325377719751</v>
      </c>
      <c r="E207">
        <v>23.129504153908929</v>
      </c>
      <c r="F207">
        <v>-5.7823644046465787</v>
      </c>
      <c r="G207">
        <v>8.5969773909672256</v>
      </c>
      <c r="H207">
        <v>-15.845605955497271</v>
      </c>
      <c r="I207">
        <v>-9.0611059330840327</v>
      </c>
    </row>
    <row r="208" spans="1:9" x14ac:dyDescent="0.25">
      <c r="A208" t="s">
        <v>209</v>
      </c>
      <c r="B208">
        <v>4.3843036204181542</v>
      </c>
      <c r="C208">
        <v>-1.1223198206806311</v>
      </c>
      <c r="D208">
        <v>7.1916278043933568</v>
      </c>
      <c r="E208">
        <v>5.2442578567219265</v>
      </c>
      <c r="F208">
        <v>-9.5803626224473408</v>
      </c>
      <c r="G208">
        <v>2.9353391657162624</v>
      </c>
      <c r="H208">
        <v>3.7358733398146082</v>
      </c>
      <c r="I208">
        <v>-4.732887487133322</v>
      </c>
    </row>
    <row r="209" spans="1:9" x14ac:dyDescent="0.25">
      <c r="A209" t="s">
        <v>210</v>
      </c>
      <c r="B209">
        <v>-65.827560492179686</v>
      </c>
      <c r="C209">
        <v>0.4680343990926355</v>
      </c>
      <c r="D209">
        <v>49.722059474985357</v>
      </c>
      <c r="E209">
        <v>15.009448909080497</v>
      </c>
      <c r="F209">
        <v>-18.838174273858925</v>
      </c>
      <c r="G209">
        <v>-14.212678936605307</v>
      </c>
      <c r="H209">
        <v>-12.276519666269381</v>
      </c>
      <c r="I209">
        <v>-13.349184782608692</v>
      </c>
    </row>
    <row r="210" spans="1:9" x14ac:dyDescent="0.25">
      <c r="A210" t="s">
        <v>211</v>
      </c>
      <c r="B210">
        <v>3.1395846771789313</v>
      </c>
      <c r="C210">
        <v>37.826829588753121</v>
      </c>
      <c r="D210">
        <v>9.4070543374642526</v>
      </c>
      <c r="E210">
        <v>42.40380593893768</v>
      </c>
      <c r="F210">
        <v>19.929757577982549</v>
      </c>
      <c r="G210">
        <v>21.356489087068763</v>
      </c>
      <c r="H210">
        <v>9.5356208957984752</v>
      </c>
      <c r="I210">
        <v>7.6830372906335871</v>
      </c>
    </row>
    <row r="211" spans="1:9" x14ac:dyDescent="0.25">
      <c r="A211" t="s">
        <v>212</v>
      </c>
      <c r="B211">
        <v>36.06273286543626</v>
      </c>
      <c r="C211">
        <v>8.5588741004903603</v>
      </c>
      <c r="D211">
        <v>-4.939285504780913</v>
      </c>
      <c r="E211">
        <v>-0.15427337241591227</v>
      </c>
      <c r="F211">
        <v>-80.964153275648954</v>
      </c>
      <c r="G211">
        <v>-2.5974025974025996</v>
      </c>
      <c r="H211">
        <v>33.333333333333329</v>
      </c>
      <c r="I211">
        <v>25</v>
      </c>
    </row>
    <row r="212" spans="1:9" x14ac:dyDescent="0.25">
      <c r="A212" t="s">
        <v>213</v>
      </c>
      <c r="B212">
        <v>37.472562860199218</v>
      </c>
      <c r="C212">
        <v>3.8541426263558733</v>
      </c>
      <c r="D212">
        <v>-4.0333333333333332</v>
      </c>
      <c r="E212">
        <v>29.813592682644437</v>
      </c>
      <c r="F212">
        <v>16.604233559281724</v>
      </c>
      <c r="G212">
        <v>32.747762678157109</v>
      </c>
      <c r="H212">
        <v>29.705176222030154</v>
      </c>
      <c r="I212">
        <v>-5.9335712487598284</v>
      </c>
    </row>
    <row r="213" spans="1:9" x14ac:dyDescent="0.25">
      <c r="A213" t="s">
        <v>214</v>
      </c>
      <c r="B213">
        <v>3.0536889297612326</v>
      </c>
      <c r="C213">
        <v>6.98570373302638</v>
      </c>
      <c r="D213">
        <v>9.4223886218154274</v>
      </c>
      <c r="E213">
        <v>4.3151003888192268</v>
      </c>
      <c r="F213">
        <v>7.0348822188389084</v>
      </c>
      <c r="G213">
        <v>1.4683292779706334</v>
      </c>
      <c r="H213">
        <v>7.6485716734286378</v>
      </c>
      <c r="I213">
        <v>5.1895110753893308</v>
      </c>
    </row>
    <row r="214" spans="1:9" x14ac:dyDescent="0.25">
      <c r="A214" t="s">
        <v>215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 t="s">
        <v>216</v>
      </c>
      <c r="B215">
        <v>9.375</v>
      </c>
      <c r="C215">
        <v>78.571428571428569</v>
      </c>
      <c r="D215">
        <v>49.8</v>
      </c>
      <c r="E215">
        <v>-15.887850467289718</v>
      </c>
      <c r="F215">
        <v>9.6825396825396837</v>
      </c>
      <c r="G215">
        <v>0.86830680173661368</v>
      </c>
      <c r="H215">
        <v>4.8780487804878048</v>
      </c>
      <c r="I215">
        <v>-13.679890560875513</v>
      </c>
    </row>
    <row r="216" spans="1:9" x14ac:dyDescent="0.25">
      <c r="A216" t="s">
        <v>217</v>
      </c>
      <c r="B216">
        <v>0</v>
      </c>
      <c r="C216">
        <v>0</v>
      </c>
      <c r="D216">
        <v>100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52</v>
      </c>
      <c r="B217">
        <v>-5.0716357563505312</v>
      </c>
      <c r="C217">
        <v>-0.15231481481482154</v>
      </c>
      <c r="D217">
        <v>37.083798934488186</v>
      </c>
      <c r="E217">
        <v>30.153898190427871</v>
      </c>
      <c r="F217">
        <v>18.685031185031185</v>
      </c>
      <c r="G217">
        <v>38.723450843004159</v>
      </c>
      <c r="H217">
        <v>19.403362007734195</v>
      </c>
      <c r="I217">
        <v>1.294151861252115</v>
      </c>
    </row>
    <row r="218" spans="1:9" x14ac:dyDescent="0.25">
      <c r="A218" t="s">
        <v>218</v>
      </c>
      <c r="B218">
        <v>1.5253701870023257</v>
      </c>
      <c r="C218">
        <v>-16.705339556343109</v>
      </c>
      <c r="D218">
        <v>4.7477087016292341</v>
      </c>
      <c r="E218">
        <v>8.5113913983068503</v>
      </c>
      <c r="F218">
        <v>4.5211708974401263</v>
      </c>
      <c r="G218">
        <v>-76.227960260082327</v>
      </c>
      <c r="H218">
        <v>65.150400765547218</v>
      </c>
      <c r="I218">
        <v>4.328260112223008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49"/>
  <sheetViews>
    <sheetView workbookViewId="0">
      <selection activeCell="R46" sqref="A1:R46"/>
    </sheetView>
  </sheetViews>
  <sheetFormatPr defaultRowHeight="15" x14ac:dyDescent="0.25"/>
  <cols>
    <col min="1" max="1" width="9.42578125" bestFit="1" customWidth="1"/>
  </cols>
  <sheetData>
    <row r="1" spans="1:18" x14ac:dyDescent="0.25">
      <c r="A1" t="s">
        <v>219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 t="s">
        <v>220</v>
      </c>
      <c r="K1">
        <v>2016</v>
      </c>
      <c r="L1">
        <v>2017</v>
      </c>
      <c r="M1">
        <v>2018</v>
      </c>
      <c r="N1">
        <v>2019</v>
      </c>
      <c r="O1">
        <v>2020</v>
      </c>
      <c r="P1">
        <v>2021</v>
      </c>
      <c r="Q1">
        <v>2022</v>
      </c>
      <c r="R1">
        <v>2023</v>
      </c>
    </row>
    <row r="2" spans="1:18" x14ac:dyDescent="0.25">
      <c r="A2" t="s">
        <v>29</v>
      </c>
      <c r="B2">
        <v>8.7200000000000006</v>
      </c>
      <c r="C2">
        <v>11.34</v>
      </c>
      <c r="D2">
        <v>12.21</v>
      </c>
      <c r="E2">
        <v>19.649999999999999</v>
      </c>
      <c r="F2">
        <v>17.28</v>
      </c>
      <c r="G2">
        <v>13.21</v>
      </c>
      <c r="H2">
        <v>10.67</v>
      </c>
      <c r="I2">
        <v>10.45</v>
      </c>
      <c r="J2" t="s">
        <v>29</v>
      </c>
      <c r="K2">
        <v>-3.671997590068929</v>
      </c>
      <c r="L2">
        <v>-5.8642868478291215</v>
      </c>
      <c r="M2">
        <v>-7.7982665780783629</v>
      </c>
      <c r="N2">
        <v>4.4537824616044067E-2</v>
      </c>
      <c r="O2">
        <v>-0.19305824558024268</v>
      </c>
      <c r="P2">
        <v>-9.0801730049166718</v>
      </c>
      <c r="Q2">
        <v>-13.338666095479827</v>
      </c>
      <c r="R2">
        <v>4.3801913875598091</v>
      </c>
    </row>
    <row r="3" spans="1:18" hidden="1" x14ac:dyDescent="0.25">
      <c r="A3" t="s">
        <v>42</v>
      </c>
      <c r="B3" t="e">
        <v>#N/A</v>
      </c>
      <c r="C3" t="e">
        <v>#N/A</v>
      </c>
      <c r="D3" t="e">
        <v>#N/A</v>
      </c>
      <c r="E3" t="e">
        <v>#N/A</v>
      </c>
      <c r="F3">
        <v>9.23</v>
      </c>
      <c r="G3">
        <v>8.82</v>
      </c>
      <c r="H3">
        <v>10.42</v>
      </c>
      <c r="I3">
        <v>11.17</v>
      </c>
      <c r="J3" t="s">
        <v>42</v>
      </c>
      <c r="K3">
        <v>8.7884494664155675</v>
      </c>
      <c r="L3">
        <v>0</v>
      </c>
      <c r="M3">
        <v>6.3473744950952105</v>
      </c>
      <c r="N3">
        <v>27.94899620184481</v>
      </c>
      <c r="O3">
        <v>0</v>
      </c>
      <c r="P3">
        <v>0.25020143335736783</v>
      </c>
      <c r="Q3">
        <v>5.7529610829103213</v>
      </c>
      <c r="R3">
        <v>0</v>
      </c>
    </row>
    <row r="4" spans="1:18" hidden="1" x14ac:dyDescent="0.25">
      <c r="A4" t="s">
        <v>44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>
        <v>18.739999999999998</v>
      </c>
      <c r="H4" t="e">
        <v>#N/A</v>
      </c>
      <c r="I4">
        <v>11.26</v>
      </c>
      <c r="J4" t="s">
        <v>44</v>
      </c>
      <c r="K4">
        <v>11.111111111111111</v>
      </c>
      <c r="L4">
        <v>0</v>
      </c>
      <c r="M4">
        <v>24</v>
      </c>
      <c r="N4">
        <v>0</v>
      </c>
      <c r="O4">
        <v>16.129032258064516</v>
      </c>
      <c r="P4">
        <v>0</v>
      </c>
      <c r="Q4">
        <v>20.833333333333336</v>
      </c>
      <c r="R4">
        <v>3.4482758620689653</v>
      </c>
    </row>
    <row r="5" spans="1:18" hidden="1" x14ac:dyDescent="0.25">
      <c r="A5" t="s">
        <v>37</v>
      </c>
      <c r="B5" t="e">
        <v>#N/A</v>
      </c>
      <c r="C5" t="e">
        <v>#N/A</v>
      </c>
      <c r="D5" t="e">
        <v>#N/A</v>
      </c>
      <c r="E5">
        <v>12.05</v>
      </c>
      <c r="F5">
        <v>9.24</v>
      </c>
      <c r="G5">
        <v>9.27</v>
      </c>
      <c r="H5">
        <v>10.89</v>
      </c>
      <c r="I5">
        <v>11.74</v>
      </c>
      <c r="J5" t="s">
        <v>37</v>
      </c>
      <c r="K5">
        <v>-0.57087400810641087</v>
      </c>
      <c r="L5">
        <v>10.865820749842108</v>
      </c>
      <c r="M5">
        <v>3.3584505036381009</v>
      </c>
      <c r="N5">
        <v>6.5994839162240639</v>
      </c>
      <c r="O5">
        <v>6.7422870605930747</v>
      </c>
      <c r="P5">
        <v>8.333540661628982</v>
      </c>
      <c r="Q5">
        <v>-4.0991477747904437</v>
      </c>
      <c r="R5">
        <v>9.568509921550735</v>
      </c>
    </row>
    <row r="6" spans="1:18" x14ac:dyDescent="0.25">
      <c r="A6" t="s">
        <v>3</v>
      </c>
      <c r="B6">
        <v>12.81</v>
      </c>
      <c r="C6">
        <v>12.26</v>
      </c>
      <c r="D6">
        <v>11.76</v>
      </c>
      <c r="E6">
        <v>12.06</v>
      </c>
      <c r="F6">
        <v>10.54</v>
      </c>
      <c r="G6">
        <v>10.54</v>
      </c>
      <c r="H6">
        <v>11.77</v>
      </c>
      <c r="I6">
        <v>11.93</v>
      </c>
      <c r="J6" t="s">
        <v>3</v>
      </c>
      <c r="K6">
        <v>-3.9593217145758959</v>
      </c>
      <c r="L6">
        <v>-1.3257558055127963</v>
      </c>
      <c r="M6">
        <v>3.5520256533311456</v>
      </c>
      <c r="N6">
        <v>7.2263575361179164</v>
      </c>
      <c r="O6">
        <v>2.571821743520573</v>
      </c>
      <c r="P6">
        <v>11.721590924206469</v>
      </c>
      <c r="Q6">
        <v>-0.20248943631449703</v>
      </c>
      <c r="R6">
        <v>-0.70746262160380602</v>
      </c>
    </row>
    <row r="7" spans="1:18" x14ac:dyDescent="0.25">
      <c r="A7" t="s">
        <v>8</v>
      </c>
      <c r="B7">
        <v>16.420000000000002</v>
      </c>
      <c r="C7">
        <v>14.93</v>
      </c>
      <c r="D7">
        <v>14.61</v>
      </c>
      <c r="E7">
        <v>13.95</v>
      </c>
      <c r="F7">
        <v>11.3</v>
      </c>
      <c r="G7">
        <v>10.79</v>
      </c>
      <c r="H7">
        <v>11.97</v>
      </c>
      <c r="I7">
        <v>12.43</v>
      </c>
      <c r="J7" t="s">
        <v>8</v>
      </c>
      <c r="K7">
        <v>-3.1244874638704037</v>
      </c>
      <c r="L7">
        <v>1.2123781498552928</v>
      </c>
      <c r="M7">
        <v>-2.9012332983704483</v>
      </c>
      <c r="N7">
        <v>7.9929679391684267</v>
      </c>
      <c r="O7">
        <v>-1.5880176257534726</v>
      </c>
      <c r="P7">
        <v>-4.3413561506420697</v>
      </c>
      <c r="Q7">
        <v>13.064433240273907</v>
      </c>
      <c r="R7">
        <v>-6.8302151026374949</v>
      </c>
    </row>
    <row r="8" spans="1:18" x14ac:dyDescent="0.25">
      <c r="A8" t="s">
        <v>1</v>
      </c>
      <c r="B8">
        <v>11.71</v>
      </c>
      <c r="C8">
        <v>11.82</v>
      </c>
      <c r="D8">
        <v>11.94</v>
      </c>
      <c r="E8">
        <v>11.96</v>
      </c>
      <c r="F8">
        <v>10.64</v>
      </c>
      <c r="G8">
        <v>10.24</v>
      </c>
      <c r="H8">
        <v>12.41</v>
      </c>
      <c r="I8">
        <v>12.85</v>
      </c>
      <c r="J8" t="s">
        <v>1</v>
      </c>
      <c r="K8">
        <v>8.6431701514961681</v>
      </c>
      <c r="L8">
        <v>0.31438241947696649</v>
      </c>
      <c r="M8">
        <v>8.4093371213644179</v>
      </c>
      <c r="N8">
        <v>12.537341269799226</v>
      </c>
      <c r="O8">
        <v>2.6534622885182446</v>
      </c>
      <c r="P8">
        <v>-22.078613034903459</v>
      </c>
      <c r="Q8">
        <v>-5.7261083511878228</v>
      </c>
      <c r="R8">
        <v>14.690210896594619</v>
      </c>
    </row>
    <row r="9" spans="1:18" hidden="1" x14ac:dyDescent="0.25">
      <c r="A9" t="s">
        <v>51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>
        <v>13.48</v>
      </c>
      <c r="J9" t="s">
        <v>51</v>
      </c>
      <c r="K9">
        <v>39.760607175097796</v>
      </c>
      <c r="L9">
        <v>-13.927896461807135</v>
      </c>
      <c r="M9">
        <v>-4.9556685844520416</v>
      </c>
      <c r="N9">
        <v>19.183530237454676</v>
      </c>
      <c r="O9">
        <v>-20.850917656296005</v>
      </c>
      <c r="P9">
        <v>1.2121024242048484</v>
      </c>
      <c r="Q9">
        <v>-18.69582529327085</v>
      </c>
      <c r="R9">
        <v>31.705782633264278</v>
      </c>
    </row>
    <row r="10" spans="1:18" x14ac:dyDescent="0.25">
      <c r="A10" t="s">
        <v>4</v>
      </c>
      <c r="B10">
        <v>13.1</v>
      </c>
      <c r="C10">
        <v>13.24</v>
      </c>
      <c r="D10">
        <v>13.28</v>
      </c>
      <c r="E10">
        <v>13.15</v>
      </c>
      <c r="F10">
        <v>10.33</v>
      </c>
      <c r="G10">
        <v>10.32</v>
      </c>
      <c r="H10">
        <v>12.59</v>
      </c>
      <c r="I10">
        <v>13.62</v>
      </c>
      <c r="J10" t="s">
        <v>4</v>
      </c>
      <c r="K10">
        <v>14.933217907494434</v>
      </c>
      <c r="L10">
        <v>-5.842793350191001</v>
      </c>
      <c r="M10">
        <v>11.050797097308731</v>
      </c>
      <c r="N10">
        <v>10.311294057113459</v>
      </c>
      <c r="O10">
        <v>-21.983301459956163</v>
      </c>
      <c r="P10">
        <v>0.79516919765635441</v>
      </c>
      <c r="Q10">
        <v>-2.5031140637048486</v>
      </c>
      <c r="R10">
        <v>-30.717284175944521</v>
      </c>
    </row>
    <row r="11" spans="1:18" x14ac:dyDescent="0.25">
      <c r="A11" t="s">
        <v>30</v>
      </c>
      <c r="B11">
        <v>9.66</v>
      </c>
      <c r="C11">
        <v>12.39</v>
      </c>
      <c r="D11">
        <v>12.72</v>
      </c>
      <c r="E11">
        <v>11.85</v>
      </c>
      <c r="F11">
        <v>18.27</v>
      </c>
      <c r="G11">
        <v>14.47</v>
      </c>
      <c r="H11">
        <v>9.65</v>
      </c>
      <c r="I11">
        <v>13.88</v>
      </c>
      <c r="J11" t="s">
        <v>30</v>
      </c>
      <c r="K11">
        <v>8.2683410442828809</v>
      </c>
      <c r="L11">
        <v>1.8863317257798669</v>
      </c>
      <c r="M11">
        <v>1.8573996405032953</v>
      </c>
      <c r="N11">
        <v>3.2941176470588238</v>
      </c>
      <c r="O11">
        <v>4.4988610478359909</v>
      </c>
      <c r="P11">
        <v>3.1607629427792916</v>
      </c>
      <c r="Q11">
        <v>26.782884310618066</v>
      </c>
      <c r="R11">
        <v>3.3333333333333335</v>
      </c>
    </row>
    <row r="12" spans="1:18" hidden="1" x14ac:dyDescent="0.25">
      <c r="A12" t="s">
        <v>49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>
        <v>14.79</v>
      </c>
      <c r="I12">
        <v>14.4</v>
      </c>
      <c r="J12" t="s">
        <v>49</v>
      </c>
      <c r="K12">
        <v>7.22386403644472</v>
      </c>
      <c r="L12">
        <v>-4.8222920936896774</v>
      </c>
      <c r="M12">
        <v>-0.48507404174354846</v>
      </c>
      <c r="N12">
        <v>-1.5374271862508733</v>
      </c>
      <c r="O12">
        <v>-10.83881017412086</v>
      </c>
      <c r="P12">
        <v>12.731993921190874</v>
      </c>
      <c r="Q12">
        <v>-10.958613295969599</v>
      </c>
      <c r="R12">
        <v>-12.86702032544555</v>
      </c>
    </row>
    <row r="13" spans="1:18" x14ac:dyDescent="0.25">
      <c r="A13" t="s">
        <v>6</v>
      </c>
      <c r="B13">
        <v>14.96</v>
      </c>
      <c r="C13">
        <v>15.13</v>
      </c>
      <c r="D13">
        <v>15.42</v>
      </c>
      <c r="E13">
        <v>15.04</v>
      </c>
      <c r="F13">
        <v>11.85</v>
      </c>
      <c r="G13">
        <v>12.58</v>
      </c>
      <c r="H13">
        <v>14.97</v>
      </c>
      <c r="I13">
        <v>14.67</v>
      </c>
      <c r="J13" t="s">
        <v>6</v>
      </c>
      <c r="K13">
        <v>-6.2815423660379581</v>
      </c>
      <c r="L13">
        <v>12.36789041141081</v>
      </c>
      <c r="M13">
        <v>-2.2193619060660046</v>
      </c>
      <c r="N13">
        <v>-3.1872363785058448</v>
      </c>
      <c r="O13">
        <v>6.6686608840149413</v>
      </c>
      <c r="P13">
        <v>-2.2299625675381614</v>
      </c>
      <c r="Q13">
        <v>2.9534656139885795</v>
      </c>
      <c r="R13">
        <v>-4.1606043009278579</v>
      </c>
    </row>
    <row r="14" spans="1:18" x14ac:dyDescent="0.25">
      <c r="A14" t="s">
        <v>5</v>
      </c>
      <c r="B14">
        <v>13.64</v>
      </c>
      <c r="C14">
        <v>14.21</v>
      </c>
      <c r="D14">
        <v>14.03</v>
      </c>
      <c r="E14">
        <v>14.12</v>
      </c>
      <c r="F14">
        <v>12.12</v>
      </c>
      <c r="G14">
        <v>11.86</v>
      </c>
      <c r="H14">
        <v>15.02</v>
      </c>
      <c r="I14">
        <v>15.05</v>
      </c>
      <c r="J14" t="s">
        <v>5</v>
      </c>
      <c r="K14">
        <v>-8.6658167700063764</v>
      </c>
      <c r="L14">
        <v>2.5204389926365134</v>
      </c>
      <c r="M14">
        <v>2.6883184394880697</v>
      </c>
      <c r="N14">
        <v>-26.639828363425984</v>
      </c>
      <c r="O14">
        <v>17.87756309148266</v>
      </c>
      <c r="P14">
        <v>25.639417381002151</v>
      </c>
      <c r="Q14">
        <v>-3.4934546261371215</v>
      </c>
      <c r="R14">
        <v>-9.8688370061270732</v>
      </c>
    </row>
    <row r="15" spans="1:18" x14ac:dyDescent="0.25">
      <c r="A15" t="s">
        <v>10</v>
      </c>
      <c r="B15">
        <v>17.079999999999998</v>
      </c>
      <c r="C15">
        <v>16.309999999999999</v>
      </c>
      <c r="D15">
        <v>15.63</v>
      </c>
      <c r="E15">
        <v>15.38</v>
      </c>
      <c r="F15">
        <v>14.32</v>
      </c>
      <c r="G15">
        <v>14.44</v>
      </c>
      <c r="H15">
        <v>15.13</v>
      </c>
      <c r="I15">
        <v>16.14</v>
      </c>
      <c r="J15" t="s">
        <v>10</v>
      </c>
      <c r="K15">
        <v>1.3140322360295287</v>
      </c>
      <c r="L15">
        <v>3.1950024767461063</v>
      </c>
      <c r="M15">
        <v>-2.7894077175391345</v>
      </c>
      <c r="N15">
        <v>10.336488080542065</v>
      </c>
      <c r="O15">
        <v>5.9870276592105229</v>
      </c>
      <c r="P15">
        <v>-4.7732764080790142</v>
      </c>
      <c r="Q15">
        <v>-6.5822211054781228</v>
      </c>
      <c r="R15">
        <v>-12.622685392725094</v>
      </c>
    </row>
    <row r="16" spans="1:18" x14ac:dyDescent="0.25">
      <c r="A16" t="s">
        <v>7</v>
      </c>
      <c r="B16">
        <v>15.55</v>
      </c>
      <c r="C16">
        <v>16.260000000000002</v>
      </c>
      <c r="D16">
        <v>15.21</v>
      </c>
      <c r="E16">
        <v>15.74</v>
      </c>
      <c r="F16">
        <v>19.93</v>
      </c>
      <c r="G16">
        <v>16.7</v>
      </c>
      <c r="H16">
        <v>15.44</v>
      </c>
      <c r="I16">
        <v>16.170000000000002</v>
      </c>
      <c r="J16" t="s">
        <v>7</v>
      </c>
      <c r="K16">
        <v>12.938007140538785</v>
      </c>
      <c r="L16">
        <v>7.2226277582034815</v>
      </c>
      <c r="M16">
        <v>9.3729730309251824</v>
      </c>
      <c r="N16">
        <v>21.693165777917191</v>
      </c>
      <c r="O16">
        <v>17.278376756493337</v>
      </c>
      <c r="P16">
        <v>9.6664079617025074</v>
      </c>
      <c r="Q16">
        <v>9.0326358574819476</v>
      </c>
      <c r="R16">
        <v>4.9059844279079918</v>
      </c>
    </row>
    <row r="17" spans="1:18" hidden="1" x14ac:dyDescent="0.25">
      <c r="A17" t="s">
        <v>43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>
        <v>13.65</v>
      </c>
      <c r="H17">
        <v>14.11</v>
      </c>
      <c r="I17">
        <v>17.32</v>
      </c>
      <c r="J17" t="s">
        <v>43</v>
      </c>
      <c r="K17">
        <v>9.3477144324601955</v>
      </c>
      <c r="L17">
        <v>-2.0197275716298733</v>
      </c>
      <c r="M17">
        <v>-0.93480345158197509</v>
      </c>
      <c r="N17">
        <v>-8.3692233244616521</v>
      </c>
      <c r="O17">
        <v>1.2568984183148031</v>
      </c>
      <c r="P17">
        <v>4.5419459149346775</v>
      </c>
      <c r="Q17">
        <v>-16.155924238002232</v>
      </c>
      <c r="R17">
        <v>-38.718017374747113</v>
      </c>
    </row>
    <row r="18" spans="1:18" hidden="1" x14ac:dyDescent="0.25">
      <c r="A18" t="s">
        <v>32</v>
      </c>
      <c r="B18" t="e">
        <v>#N/A</v>
      </c>
      <c r="C18">
        <v>20.05</v>
      </c>
      <c r="D18">
        <v>19.73</v>
      </c>
      <c r="E18">
        <v>18.63</v>
      </c>
      <c r="F18">
        <v>16.100000000000001</v>
      </c>
      <c r="G18">
        <v>16.2</v>
      </c>
      <c r="H18">
        <v>18.02</v>
      </c>
      <c r="I18">
        <v>18.059999999999999</v>
      </c>
      <c r="J18" t="s">
        <v>32</v>
      </c>
      <c r="K18">
        <v>80.480996349581275</v>
      </c>
      <c r="L18">
        <v>37.872298235177475</v>
      </c>
      <c r="M18">
        <v>-8.0239899897884364</v>
      </c>
      <c r="N18">
        <v>77.507427677873352</v>
      </c>
      <c r="O18">
        <v>19.246038737564149</v>
      </c>
      <c r="P18">
        <v>30.892166761062818</v>
      </c>
      <c r="Q18">
        <v>-3.3713361176957521</v>
      </c>
      <c r="R18">
        <v>-3.4266578404267745</v>
      </c>
    </row>
    <row r="19" spans="1:18" hidden="1" x14ac:dyDescent="0.25">
      <c r="A19" t="s">
        <v>50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>
        <v>30.03</v>
      </c>
      <c r="I19">
        <v>18.440000000000001</v>
      </c>
      <c r="J19" t="s">
        <v>50</v>
      </c>
      <c r="K19">
        <v>11.082165372792163</v>
      </c>
      <c r="L19">
        <v>3.0018761726078798</v>
      </c>
      <c r="M19">
        <v>8.1056466302367944</v>
      </c>
      <c r="N19">
        <v>3.6225779275484413</v>
      </c>
      <c r="O19">
        <v>5.7073170731707323</v>
      </c>
      <c r="P19">
        <v>3.8363328718658671</v>
      </c>
      <c r="Q19">
        <v>2.0591372363119222</v>
      </c>
      <c r="R19">
        <v>1.6053647632595001</v>
      </c>
    </row>
    <row r="20" spans="1:18" x14ac:dyDescent="0.25">
      <c r="A20" t="s">
        <v>15</v>
      </c>
      <c r="B20">
        <v>21.02</v>
      </c>
      <c r="C20">
        <v>16.38</v>
      </c>
      <c r="D20">
        <v>19.399999999999999</v>
      </c>
      <c r="E20">
        <v>23.19</v>
      </c>
      <c r="F20">
        <v>30.31</v>
      </c>
      <c r="G20">
        <v>20.02</v>
      </c>
      <c r="H20">
        <v>16.73</v>
      </c>
      <c r="I20">
        <v>18.670000000000002</v>
      </c>
      <c r="J20" t="s">
        <v>15</v>
      </c>
      <c r="K20">
        <v>-2.4444444444444446</v>
      </c>
      <c r="L20">
        <v>7.0615034168564916</v>
      </c>
      <c r="M20">
        <v>8.9361702127659584</v>
      </c>
      <c r="N20">
        <v>43.75</v>
      </c>
      <c r="O20">
        <v>5.2989130434782608</v>
      </c>
      <c r="P20">
        <v>163.09677419354838</v>
      </c>
      <c r="Q20">
        <v>10.250122609122119</v>
      </c>
      <c r="R20">
        <v>4.4483985765124556</v>
      </c>
    </row>
    <row r="21" spans="1:18" hidden="1" x14ac:dyDescent="0.25">
      <c r="A21" t="s">
        <v>39</v>
      </c>
      <c r="B21" t="e">
        <v>#N/A</v>
      </c>
      <c r="C21" t="e">
        <v>#N/A</v>
      </c>
      <c r="D21" t="e">
        <v>#N/A</v>
      </c>
      <c r="E21">
        <v>17.38</v>
      </c>
      <c r="F21">
        <v>13.91</v>
      </c>
      <c r="G21">
        <v>14.06</v>
      </c>
      <c r="H21">
        <v>17.309999999999999</v>
      </c>
      <c r="I21">
        <v>18.91</v>
      </c>
      <c r="J21" t="s">
        <v>39</v>
      </c>
      <c r="K21">
        <v>3.7227722772277225</v>
      </c>
      <c r="L21">
        <v>3.4984726995036275</v>
      </c>
      <c r="M21">
        <v>0.30435785104911228</v>
      </c>
      <c r="N21">
        <v>-3.5170796744977242</v>
      </c>
      <c r="O21">
        <v>-2.7875726674926145</v>
      </c>
      <c r="P21">
        <v>2.8920150972991521</v>
      </c>
      <c r="Q21">
        <v>-8.2511552570149114</v>
      </c>
      <c r="R21">
        <v>-3.3542759229451167</v>
      </c>
    </row>
    <row r="22" spans="1:18" x14ac:dyDescent="0.25">
      <c r="A22" t="s">
        <v>9</v>
      </c>
      <c r="B22">
        <v>16.73</v>
      </c>
      <c r="C22">
        <v>16.86</v>
      </c>
      <c r="D22">
        <v>16.38</v>
      </c>
      <c r="E22">
        <v>16.12</v>
      </c>
      <c r="F22">
        <v>14.16</v>
      </c>
      <c r="G22">
        <v>13.71</v>
      </c>
      <c r="H22">
        <v>18.600000000000001</v>
      </c>
      <c r="I22">
        <v>18.920000000000002</v>
      </c>
      <c r="J22" t="s">
        <v>9</v>
      </c>
      <c r="K22">
        <v>-1.2905124972753914</v>
      </c>
      <c r="L22">
        <v>-14.65304115426817</v>
      </c>
      <c r="M22">
        <v>-0.12376402681199145</v>
      </c>
      <c r="N22">
        <v>12.557799184388555</v>
      </c>
      <c r="O22">
        <v>6.2354436242362272</v>
      </c>
      <c r="P22">
        <v>14.693408078258837</v>
      </c>
      <c r="Q22">
        <v>-5.3809484863709107</v>
      </c>
      <c r="R22">
        <v>-12.371450151368284</v>
      </c>
    </row>
    <row r="23" spans="1:18" x14ac:dyDescent="0.25">
      <c r="A23" t="s">
        <v>12</v>
      </c>
      <c r="B23">
        <v>18.87</v>
      </c>
      <c r="C23">
        <v>18.25</v>
      </c>
      <c r="D23">
        <v>19.05</v>
      </c>
      <c r="E23">
        <v>19.22</v>
      </c>
      <c r="F23">
        <v>14.9</v>
      </c>
      <c r="G23">
        <v>15.09</v>
      </c>
      <c r="H23">
        <v>18.86</v>
      </c>
      <c r="I23">
        <v>19.75</v>
      </c>
      <c r="J23" t="s">
        <v>12</v>
      </c>
      <c r="K23">
        <v>2.3505899271307045</v>
      </c>
      <c r="L23">
        <v>27.801129176943213</v>
      </c>
      <c r="M23">
        <v>11.851201639813439</v>
      </c>
      <c r="N23">
        <v>-2.1471104358918724</v>
      </c>
      <c r="O23">
        <v>50.524842649463821</v>
      </c>
      <c r="P23">
        <v>-5.1753420150708385</v>
      </c>
      <c r="Q23">
        <v>-3.3031027596432643</v>
      </c>
      <c r="R23">
        <v>18.795221210838264</v>
      </c>
    </row>
    <row r="24" spans="1:18" x14ac:dyDescent="0.25">
      <c r="A24" t="s">
        <v>11</v>
      </c>
      <c r="B24">
        <v>17.13</v>
      </c>
      <c r="C24">
        <v>20.12</v>
      </c>
      <c r="D24">
        <v>19.09</v>
      </c>
      <c r="E24">
        <v>22.64</v>
      </c>
      <c r="F24">
        <v>25.93</v>
      </c>
      <c r="G24">
        <v>19.7</v>
      </c>
      <c r="H24">
        <v>16.77</v>
      </c>
      <c r="I24">
        <v>20.420000000000002</v>
      </c>
      <c r="J24" t="s">
        <v>11</v>
      </c>
      <c r="K24">
        <v>22.64946500344983</v>
      </c>
      <c r="L24">
        <v>-7.5497812304670067</v>
      </c>
      <c r="M24">
        <v>11.854928285120971</v>
      </c>
      <c r="N24">
        <v>-17.185192860658489</v>
      </c>
      <c r="O24">
        <v>-3.3821306056909375</v>
      </c>
      <c r="P24">
        <v>-8.2171690410335074</v>
      </c>
      <c r="Q24">
        <v>-15.761502192853532</v>
      </c>
      <c r="R24">
        <v>3.8286527832058539</v>
      </c>
    </row>
    <row r="25" spans="1:18" x14ac:dyDescent="0.25">
      <c r="A25" t="s">
        <v>21</v>
      </c>
      <c r="B25">
        <v>24.31</v>
      </c>
      <c r="C25">
        <v>22.89</v>
      </c>
      <c r="D25">
        <v>22.41</v>
      </c>
      <c r="E25">
        <v>21.51</v>
      </c>
      <c r="F25">
        <v>16.829999999999998</v>
      </c>
      <c r="G25">
        <v>17.62</v>
      </c>
      <c r="H25">
        <v>20.68</v>
      </c>
      <c r="I25">
        <v>20.93</v>
      </c>
      <c r="J25" t="s">
        <v>21</v>
      </c>
      <c r="K25">
        <v>-46.341463414634148</v>
      </c>
      <c r="L25">
        <v>70.454545454545453</v>
      </c>
      <c r="M25">
        <v>48</v>
      </c>
      <c r="N25">
        <v>-22.522522522522522</v>
      </c>
      <c r="O25">
        <v>143.02325581395351</v>
      </c>
      <c r="P25">
        <v>6.6985645933014357</v>
      </c>
      <c r="Q25">
        <v>8.9686098654708513</v>
      </c>
      <c r="R25">
        <v>7.4074074074074066</v>
      </c>
    </row>
    <row r="26" spans="1:18" x14ac:dyDescent="0.25">
      <c r="A26" t="s">
        <v>13</v>
      </c>
      <c r="B26">
        <v>19.68</v>
      </c>
      <c r="C26">
        <v>19.829999999999998</v>
      </c>
      <c r="D26">
        <v>20.350000000000001</v>
      </c>
      <c r="E26">
        <v>20.55</v>
      </c>
      <c r="F26">
        <v>17.29</v>
      </c>
      <c r="G26">
        <v>18.34</v>
      </c>
      <c r="H26">
        <v>20.420000000000002</v>
      </c>
      <c r="I26">
        <v>21.48</v>
      </c>
      <c r="J26" t="s">
        <v>13</v>
      </c>
      <c r="K26">
        <v>2.3358954885303915</v>
      </c>
      <c r="L26">
        <v>-0.89539456026350184</v>
      </c>
      <c r="M26">
        <v>14.992624051464478</v>
      </c>
      <c r="N26">
        <v>3.875234066458713</v>
      </c>
      <c r="O26">
        <v>6.238351127717964</v>
      </c>
      <c r="P26">
        <v>28.553982430460621</v>
      </c>
      <c r="Q26">
        <v>-2.5140240577791269</v>
      </c>
      <c r="R26">
        <v>-1.4471783219161194</v>
      </c>
    </row>
    <row r="27" spans="1:18" x14ac:dyDescent="0.25">
      <c r="A27" t="s">
        <v>16</v>
      </c>
      <c r="B27">
        <v>21.93</v>
      </c>
      <c r="C27">
        <v>27.37</v>
      </c>
      <c r="D27">
        <v>23.17</v>
      </c>
      <c r="E27">
        <v>18.09</v>
      </c>
      <c r="F27">
        <v>14.15</v>
      </c>
      <c r="G27">
        <v>17.43</v>
      </c>
      <c r="H27">
        <v>21.82</v>
      </c>
      <c r="I27">
        <v>22.48</v>
      </c>
      <c r="J27" t="s">
        <v>16</v>
      </c>
      <c r="K27">
        <v>-5.5170034456706363</v>
      </c>
      <c r="L27">
        <v>7.456898544025881</v>
      </c>
      <c r="M27">
        <v>13.215525436268456</v>
      </c>
      <c r="N27">
        <v>11.935669607382946</v>
      </c>
      <c r="O27">
        <v>-46.763916586776261</v>
      </c>
      <c r="P27">
        <v>-12.334056338279604</v>
      </c>
      <c r="Q27">
        <v>10.909090909090908</v>
      </c>
      <c r="R27">
        <v>2.622950819672131</v>
      </c>
    </row>
    <row r="28" spans="1:18" hidden="1" x14ac:dyDescent="0.25">
      <c r="A28" t="s">
        <v>36</v>
      </c>
      <c r="B28" t="e">
        <v>#N/A</v>
      </c>
      <c r="C28" t="e">
        <v>#N/A</v>
      </c>
      <c r="D28">
        <v>22.27</v>
      </c>
      <c r="E28">
        <v>19.809999999999999</v>
      </c>
      <c r="F28">
        <v>22.3</v>
      </c>
      <c r="G28">
        <v>26.12</v>
      </c>
      <c r="H28">
        <v>18.38</v>
      </c>
      <c r="I28">
        <v>22.68</v>
      </c>
      <c r="J28" t="s">
        <v>36</v>
      </c>
      <c r="K28">
        <v>11.295992989557362</v>
      </c>
      <c r="L28">
        <v>11.060598959553827</v>
      </c>
      <c r="M28">
        <v>12.044748280373044</v>
      </c>
      <c r="N28">
        <v>28.826690756937793</v>
      </c>
      <c r="O28">
        <v>4.8680153996968016</v>
      </c>
      <c r="P28">
        <v>7.3431504336831406</v>
      </c>
      <c r="Q28">
        <v>6.4517568506538447</v>
      </c>
      <c r="R28">
        <v>-0.96709805540582028</v>
      </c>
    </row>
    <row r="29" spans="1:18" x14ac:dyDescent="0.25">
      <c r="A29" t="s">
        <v>17</v>
      </c>
      <c r="B29">
        <v>21.93</v>
      </c>
      <c r="C29">
        <v>20.86</v>
      </c>
      <c r="D29">
        <v>22.33</v>
      </c>
      <c r="E29">
        <v>22.68</v>
      </c>
      <c r="F29">
        <v>18.55</v>
      </c>
      <c r="G29">
        <v>17.739999999999998</v>
      </c>
      <c r="H29">
        <v>22.94</v>
      </c>
      <c r="I29">
        <v>22.77</v>
      </c>
      <c r="J29" t="s">
        <v>17</v>
      </c>
      <c r="K29">
        <v>1.4991929382093323</v>
      </c>
      <c r="L29">
        <v>12.892889773814659</v>
      </c>
      <c r="M29">
        <v>-18.790705454833585</v>
      </c>
      <c r="N29">
        <v>2.7585720906658886</v>
      </c>
      <c r="O29">
        <v>-0.42992374788005394</v>
      </c>
      <c r="P29">
        <v>11.518461909315597</v>
      </c>
      <c r="Q29">
        <v>4.5488016342430937</v>
      </c>
      <c r="R29">
        <v>-20.21175080656155</v>
      </c>
    </row>
    <row r="30" spans="1:18" x14ac:dyDescent="0.25">
      <c r="A30" t="s">
        <v>18</v>
      </c>
      <c r="B30">
        <v>22</v>
      </c>
      <c r="C30">
        <v>25.61</v>
      </c>
      <c r="D30">
        <v>24.7</v>
      </c>
      <c r="E30">
        <v>24.05</v>
      </c>
      <c r="F30">
        <v>18.91</v>
      </c>
      <c r="G30">
        <v>20.73</v>
      </c>
      <c r="H30">
        <v>23.77</v>
      </c>
      <c r="I30">
        <v>23.97</v>
      </c>
      <c r="J30" t="s">
        <v>18</v>
      </c>
      <c r="K30">
        <v>5.6388149574906103</v>
      </c>
      <c r="L30">
        <v>-9.4510871965894458E-2</v>
      </c>
      <c r="M30">
        <v>3.9183195222835456</v>
      </c>
      <c r="N30">
        <v>7.9449148800844291</v>
      </c>
      <c r="O30">
        <v>14.314650644063736</v>
      </c>
      <c r="P30">
        <v>-12.787804383776342</v>
      </c>
      <c r="Q30">
        <v>6.5428465646895999</v>
      </c>
      <c r="R30">
        <v>-3.6372570557268737</v>
      </c>
    </row>
    <row r="31" spans="1:18" hidden="1" x14ac:dyDescent="0.25">
      <c r="A31" t="s">
        <v>52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>
        <v>24.07</v>
      </c>
      <c r="J31" t="s">
        <v>52</v>
      </c>
      <c r="K31">
        <v>-5.0716357563505312</v>
      </c>
      <c r="L31">
        <v>-0.15231481481482154</v>
      </c>
      <c r="M31">
        <v>37.083798934488186</v>
      </c>
      <c r="N31">
        <v>30.153898190427871</v>
      </c>
      <c r="O31">
        <v>18.685031185031185</v>
      </c>
      <c r="P31">
        <v>38.723450843004159</v>
      </c>
      <c r="Q31">
        <v>19.403362007734195</v>
      </c>
      <c r="R31">
        <v>1.294151861252115</v>
      </c>
    </row>
    <row r="32" spans="1:18" hidden="1" x14ac:dyDescent="0.25">
      <c r="A32" t="s">
        <v>19</v>
      </c>
      <c r="B32">
        <v>22.37</v>
      </c>
      <c r="C32">
        <v>25.06</v>
      </c>
      <c r="D32" t="e">
        <v>#N/A</v>
      </c>
      <c r="E32" t="e">
        <v>#N/A</v>
      </c>
      <c r="F32" t="e">
        <v>#N/A</v>
      </c>
      <c r="G32">
        <v>24.85</v>
      </c>
      <c r="H32">
        <v>19.88</v>
      </c>
      <c r="I32">
        <v>24.27</v>
      </c>
      <c r="J32" t="s">
        <v>19</v>
      </c>
      <c r="K32">
        <v>9.0634441087613293</v>
      </c>
      <c r="L32">
        <v>13.130193905817174</v>
      </c>
      <c r="M32">
        <v>16.625857002938297</v>
      </c>
      <c r="N32">
        <v>2.6537896283854634</v>
      </c>
      <c r="O32">
        <v>-17.090031496707152</v>
      </c>
      <c r="P32">
        <v>37.668360550594507</v>
      </c>
      <c r="Q32">
        <v>-1.6915137614678994</v>
      </c>
      <c r="R32">
        <v>-10.382035578885963</v>
      </c>
    </row>
    <row r="33" spans="1:18" x14ac:dyDescent="0.25">
      <c r="A33" t="s">
        <v>14</v>
      </c>
      <c r="B33">
        <v>20.96</v>
      </c>
      <c r="C33">
        <v>22.56</v>
      </c>
      <c r="D33">
        <v>21.4</v>
      </c>
      <c r="E33">
        <v>22.03</v>
      </c>
      <c r="F33">
        <v>17.809999999999999</v>
      </c>
      <c r="G33">
        <v>16.84</v>
      </c>
      <c r="H33">
        <v>25.39</v>
      </c>
      <c r="I33">
        <v>24.85</v>
      </c>
      <c r="J33" t="s">
        <v>14</v>
      </c>
      <c r="K33">
        <v>26.44367592592592</v>
      </c>
      <c r="L33">
        <v>15.120039174227559</v>
      </c>
      <c r="M33">
        <v>22.713229572454708</v>
      </c>
      <c r="N33">
        <v>-28.342583149205286</v>
      </c>
      <c r="O33">
        <v>43.445818164035828</v>
      </c>
      <c r="P33">
        <v>-17.243346422740117</v>
      </c>
      <c r="Q33">
        <v>9.9955284039583141</v>
      </c>
      <c r="R33">
        <v>15.416464849055206</v>
      </c>
    </row>
    <row r="34" spans="1:18" x14ac:dyDescent="0.25">
      <c r="A34" t="s">
        <v>23</v>
      </c>
      <c r="B34">
        <v>26.26</v>
      </c>
      <c r="C34">
        <v>22.95</v>
      </c>
      <c r="D34">
        <v>23.57</v>
      </c>
      <c r="E34">
        <v>23.99</v>
      </c>
      <c r="F34">
        <v>20.53</v>
      </c>
      <c r="G34">
        <v>19.670000000000002</v>
      </c>
      <c r="H34">
        <v>24.03</v>
      </c>
      <c r="I34">
        <v>25.15</v>
      </c>
      <c r="J34" t="s">
        <v>23</v>
      </c>
      <c r="K34">
        <v>5.1742843967502541</v>
      </c>
      <c r="L34">
        <v>0.10545826409305893</v>
      </c>
      <c r="M34">
        <v>-7.4220699122107003</v>
      </c>
      <c r="N34">
        <v>-8.7050807377256909</v>
      </c>
      <c r="O34">
        <v>-4.9763185367939213</v>
      </c>
      <c r="P34">
        <v>15.956435068632768</v>
      </c>
      <c r="Q34">
        <v>-10.533974259213677</v>
      </c>
      <c r="R34">
        <v>-3.2225238855391498</v>
      </c>
    </row>
    <row r="35" spans="1:18" x14ac:dyDescent="0.25">
      <c r="A35" t="s">
        <v>24</v>
      </c>
      <c r="B35">
        <v>27.74</v>
      </c>
      <c r="C35">
        <v>27.11</v>
      </c>
      <c r="D35">
        <v>26.66</v>
      </c>
      <c r="E35">
        <v>25.46</v>
      </c>
      <c r="F35">
        <v>20.27</v>
      </c>
      <c r="G35">
        <v>20.58</v>
      </c>
      <c r="H35">
        <v>23.95</v>
      </c>
      <c r="I35">
        <v>25.39</v>
      </c>
      <c r="J35" t="s">
        <v>24</v>
      </c>
      <c r="K35">
        <v>-2.0737316561850636</v>
      </c>
      <c r="L35">
        <v>9.6210342860688627</v>
      </c>
      <c r="M35">
        <v>12.299173445448616</v>
      </c>
      <c r="N35">
        <v>-12.95870300735786</v>
      </c>
      <c r="O35">
        <v>-11.172159866501218</v>
      </c>
      <c r="P35">
        <v>1.1987851294608418</v>
      </c>
      <c r="Q35">
        <v>-1.3871954556129873</v>
      </c>
      <c r="R35">
        <v>-10.970363272176352</v>
      </c>
    </row>
    <row r="36" spans="1:18" hidden="1" x14ac:dyDescent="0.25">
      <c r="A36" t="s">
        <v>53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>
        <v>26.16</v>
      </c>
      <c r="J36" t="s">
        <v>53</v>
      </c>
      <c r="K36">
        <v>2.2557414044890463</v>
      </c>
      <c r="L36">
        <v>0.72438819241167962</v>
      </c>
      <c r="M36">
        <v>-2.1493168173841335</v>
      </c>
      <c r="N36">
        <v>-2.5373040348074274</v>
      </c>
      <c r="O36">
        <v>-3.7771728037333259</v>
      </c>
      <c r="P36">
        <v>-0.76560798951715414</v>
      </c>
      <c r="Q36">
        <v>0.66960919453067391</v>
      </c>
      <c r="R36">
        <v>3.9616014855293082</v>
      </c>
    </row>
    <row r="37" spans="1:18" hidden="1" x14ac:dyDescent="0.25">
      <c r="A37" t="s">
        <v>45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>
        <v>19.64</v>
      </c>
      <c r="H37">
        <v>21.65</v>
      </c>
      <c r="I37">
        <v>26.36</v>
      </c>
      <c r="J37" t="s">
        <v>45</v>
      </c>
      <c r="K37">
        <v>0.39221022195764699</v>
      </c>
      <c r="L37">
        <v>-4.8348513187498234</v>
      </c>
      <c r="M37">
        <v>-7.660961550101657</v>
      </c>
      <c r="N37">
        <v>-0.7656863028620482</v>
      </c>
      <c r="O37">
        <v>20.35530445577977</v>
      </c>
      <c r="P37">
        <v>11.833539149454785</v>
      </c>
      <c r="Q37">
        <v>-26.801983856626517</v>
      </c>
      <c r="R37">
        <v>28.157598943030109</v>
      </c>
    </row>
    <row r="38" spans="1:18" hidden="1" x14ac:dyDescent="0.25">
      <c r="A38" t="s">
        <v>31</v>
      </c>
      <c r="B38" t="e">
        <v>#N/A</v>
      </c>
      <c r="C38">
        <v>118.93</v>
      </c>
      <c r="D38">
        <v>47.25</v>
      </c>
      <c r="E38">
        <v>46.07</v>
      </c>
      <c r="F38">
        <v>26.54</v>
      </c>
      <c r="G38">
        <v>35.630000000000003</v>
      </c>
      <c r="H38">
        <v>33.74</v>
      </c>
      <c r="I38">
        <v>28.7</v>
      </c>
      <c r="J38" t="s">
        <v>31</v>
      </c>
      <c r="K38">
        <v>16.80475135447114</v>
      </c>
      <c r="L38">
        <v>56.223600108388993</v>
      </c>
      <c r="M38">
        <v>-14.028058361391688</v>
      </c>
      <c r="N38">
        <v>6.8903681532759498</v>
      </c>
      <c r="O38">
        <v>4.8450597888238658</v>
      </c>
      <c r="P38">
        <v>243.66088183092799</v>
      </c>
      <c r="Q38">
        <v>16.935233179461768</v>
      </c>
      <c r="R38">
        <v>60.87228048744462</v>
      </c>
    </row>
    <row r="39" spans="1:18" x14ac:dyDescent="0.25">
      <c r="A39" t="s">
        <v>22</v>
      </c>
      <c r="B39">
        <v>25.2</v>
      </c>
      <c r="C39">
        <v>25.37</v>
      </c>
      <c r="D39">
        <v>25.79</v>
      </c>
      <c r="E39">
        <v>26.81</v>
      </c>
      <c r="F39">
        <v>26.14</v>
      </c>
      <c r="G39">
        <v>26.73</v>
      </c>
      <c r="H39">
        <v>28.67</v>
      </c>
      <c r="I39">
        <v>28.72</v>
      </c>
      <c r="J39" t="s">
        <v>22</v>
      </c>
      <c r="K39">
        <v>13.877168723647751</v>
      </c>
      <c r="L39">
        <v>1.7828015361821155</v>
      </c>
      <c r="M39">
        <v>-3.9048459939679017</v>
      </c>
      <c r="N39">
        <v>4.4667173505604323</v>
      </c>
      <c r="O39">
        <v>-3.7110437774225264</v>
      </c>
      <c r="P39">
        <v>-5.3108075337482825</v>
      </c>
      <c r="Q39">
        <v>-4.2958852654942747</v>
      </c>
      <c r="R39">
        <v>0.477397647621295</v>
      </c>
    </row>
    <row r="40" spans="1:18" hidden="1" x14ac:dyDescent="0.25">
      <c r="A40" t="s">
        <v>40</v>
      </c>
      <c r="B40" t="e">
        <v>#N/A</v>
      </c>
      <c r="C40" t="e">
        <v>#N/A</v>
      </c>
      <c r="D40" t="e">
        <v>#N/A</v>
      </c>
      <c r="E40" t="e">
        <v>#N/A</v>
      </c>
      <c r="F40">
        <v>28.66</v>
      </c>
      <c r="G40">
        <v>30.51</v>
      </c>
      <c r="H40">
        <v>31.02</v>
      </c>
      <c r="I40">
        <v>29.32</v>
      </c>
      <c r="J40" t="s">
        <v>40</v>
      </c>
      <c r="K40">
        <v>16.668695327242812</v>
      </c>
      <c r="L40">
        <v>2.6413917382866647</v>
      </c>
      <c r="M40">
        <v>13.318020321075696</v>
      </c>
      <c r="N40">
        <v>2.9931672386247667</v>
      </c>
      <c r="O40">
        <v>-3.0483894444955353</v>
      </c>
      <c r="P40">
        <v>-0.98665993255841411</v>
      </c>
      <c r="Q40">
        <v>-1.5073949869222512</v>
      </c>
      <c r="R40">
        <v>0</v>
      </c>
    </row>
    <row r="41" spans="1:18" hidden="1" x14ac:dyDescent="0.25">
      <c r="A41" t="s">
        <v>33</v>
      </c>
      <c r="B41" t="e">
        <v>#N/A</v>
      </c>
      <c r="C41">
        <v>29.93</v>
      </c>
      <c r="D41">
        <v>25.23</v>
      </c>
      <c r="E41">
        <v>16.28</v>
      </c>
      <c r="F41">
        <v>16.850000000000001</v>
      </c>
      <c r="G41">
        <v>19.45</v>
      </c>
      <c r="H41">
        <v>20.97</v>
      </c>
      <c r="I41">
        <v>29.79</v>
      </c>
      <c r="J41" t="s">
        <v>33</v>
      </c>
      <c r="K41">
        <v>0</v>
      </c>
      <c r="L41">
        <v>0</v>
      </c>
      <c r="M41">
        <v>-50</v>
      </c>
      <c r="N41">
        <v>0</v>
      </c>
      <c r="O41">
        <v>100</v>
      </c>
      <c r="P41">
        <v>0</v>
      </c>
      <c r="Q41">
        <v>50</v>
      </c>
      <c r="R41">
        <v>0</v>
      </c>
    </row>
    <row r="42" spans="1:18" x14ac:dyDescent="0.25">
      <c r="A42" t="s">
        <v>26</v>
      </c>
      <c r="B42">
        <v>28.93</v>
      </c>
      <c r="C42">
        <v>27.21</v>
      </c>
      <c r="D42">
        <v>27.11</v>
      </c>
      <c r="E42">
        <v>27.24</v>
      </c>
      <c r="F42">
        <v>28.13</v>
      </c>
      <c r="G42">
        <v>32.19</v>
      </c>
      <c r="H42">
        <v>32.630000000000003</v>
      </c>
      <c r="I42">
        <v>31.68</v>
      </c>
      <c r="J42" t="s">
        <v>26</v>
      </c>
      <c r="K42">
        <v>14.268142681426815</v>
      </c>
      <c r="L42">
        <v>10.010764262648008</v>
      </c>
      <c r="M42">
        <v>7.3385518590998036</v>
      </c>
      <c r="N42">
        <v>-2.096627164995442</v>
      </c>
      <c r="O42">
        <v>-17.597765363128492</v>
      </c>
      <c r="P42">
        <v>-3.050847457627119</v>
      </c>
      <c r="Q42">
        <v>26.689976689976692</v>
      </c>
      <c r="R42">
        <v>25.482980680772769</v>
      </c>
    </row>
    <row r="43" spans="1:18" x14ac:dyDescent="0.25">
      <c r="A43" t="s">
        <v>20</v>
      </c>
      <c r="B43">
        <v>23.81</v>
      </c>
      <c r="C43">
        <v>20.97</v>
      </c>
      <c r="D43">
        <v>19.77</v>
      </c>
      <c r="E43">
        <v>24.32</v>
      </c>
      <c r="F43">
        <v>24.9</v>
      </c>
      <c r="G43">
        <v>55.37</v>
      </c>
      <c r="H43">
        <v>48.92</v>
      </c>
      <c r="I43">
        <v>32.15</v>
      </c>
      <c r="J43" t="s">
        <v>20</v>
      </c>
      <c r="K43">
        <v>6.9474589498778885</v>
      </c>
      <c r="L43">
        <v>5.8926624897778774</v>
      </c>
      <c r="M43">
        <v>3.0905090507336497</v>
      </c>
      <c r="N43">
        <v>3.4622093554979472</v>
      </c>
      <c r="O43">
        <v>3.8354226936676312</v>
      </c>
      <c r="P43">
        <v>2.1255247158176278</v>
      </c>
      <c r="Q43">
        <v>3.500247235415479</v>
      </c>
      <c r="R43">
        <v>4.4300277899502953</v>
      </c>
    </row>
    <row r="44" spans="1:18" hidden="1" x14ac:dyDescent="0.25">
      <c r="A44" t="s">
        <v>54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>
        <v>32.51</v>
      </c>
      <c r="J44" t="s">
        <v>54</v>
      </c>
      <c r="K44">
        <v>-21.312977099236644</v>
      </c>
      <c r="L44">
        <v>-0.56266977105160876</v>
      </c>
      <c r="M44">
        <v>1.292682926829271</v>
      </c>
      <c r="N44">
        <v>125.30219118709363</v>
      </c>
      <c r="O44">
        <v>-1.2482900136798853</v>
      </c>
      <c r="P44">
        <v>0</v>
      </c>
      <c r="Q44">
        <v>0.4329004329004329</v>
      </c>
      <c r="R44">
        <v>0</v>
      </c>
    </row>
    <row r="45" spans="1:18" hidden="1" x14ac:dyDescent="0.25">
      <c r="A45" t="s">
        <v>46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>
        <v>20.190000000000001</v>
      </c>
      <c r="H45">
        <v>26.8</v>
      </c>
      <c r="I45">
        <v>33.06</v>
      </c>
      <c r="J45" t="s">
        <v>46</v>
      </c>
      <c r="K45">
        <v>10.899888755342278</v>
      </c>
      <c r="L45">
        <v>25.575187444197027</v>
      </c>
      <c r="M45">
        <v>-2.396391171699892</v>
      </c>
      <c r="N45">
        <v>5.3076879193600055</v>
      </c>
      <c r="O45">
        <v>-2.731852882836324</v>
      </c>
      <c r="P45">
        <v>4.3411484624652532</v>
      </c>
      <c r="Q45">
        <v>-5.026663826923639</v>
      </c>
      <c r="R45">
        <v>-0.37428586641510386</v>
      </c>
    </row>
    <row r="46" spans="1:18" x14ac:dyDescent="0.25">
      <c r="A46" t="s">
        <v>27</v>
      </c>
      <c r="B46">
        <v>40.51</v>
      </c>
      <c r="C46">
        <v>50.51</v>
      </c>
      <c r="D46">
        <v>48.15</v>
      </c>
      <c r="E46">
        <v>56.27</v>
      </c>
      <c r="F46">
        <v>49.5</v>
      </c>
      <c r="G46">
        <v>78.040000000000006</v>
      </c>
      <c r="H46">
        <v>32.28</v>
      </c>
      <c r="I46">
        <v>33.28</v>
      </c>
      <c r="J46" t="s">
        <v>27</v>
      </c>
      <c r="K46">
        <v>2.1729166666666666</v>
      </c>
      <c r="L46">
        <v>14.505841812287173</v>
      </c>
      <c r="M46">
        <v>17.285258676106853</v>
      </c>
      <c r="N46">
        <v>8.1804931373739826</v>
      </c>
      <c r="O46">
        <v>7.8173244259810248</v>
      </c>
      <c r="P46">
        <v>9.7224753325870186</v>
      </c>
      <c r="Q46">
        <v>3.6706172663748204</v>
      </c>
      <c r="R46">
        <v>6.1280540138467696</v>
      </c>
    </row>
    <row r="47" spans="1:18" hidden="1" x14ac:dyDescent="0.25">
      <c r="A47" t="s">
        <v>34</v>
      </c>
      <c r="B47" t="e">
        <v>#N/A</v>
      </c>
      <c r="C47">
        <v>43.38</v>
      </c>
      <c r="D47">
        <v>36.270000000000003</v>
      </c>
      <c r="E47">
        <v>29.56</v>
      </c>
      <c r="F47">
        <v>27.96</v>
      </c>
      <c r="G47">
        <v>27.48</v>
      </c>
      <c r="H47">
        <v>34.270000000000003</v>
      </c>
      <c r="I47">
        <v>36.299999999999997</v>
      </c>
      <c r="J47" t="s">
        <v>34</v>
      </c>
      <c r="K47">
        <v>17.894736842105264</v>
      </c>
      <c r="L47">
        <v>8.9285714285714288</v>
      </c>
      <c r="M47">
        <v>9.0163934426229506</v>
      </c>
      <c r="N47">
        <v>45.864661654135332</v>
      </c>
      <c r="O47">
        <v>5.9278350515463911</v>
      </c>
      <c r="P47">
        <v>4.3795620437956204</v>
      </c>
      <c r="Q47">
        <v>20.372960372960371</v>
      </c>
      <c r="R47">
        <v>5.3214562354763784</v>
      </c>
    </row>
    <row r="48" spans="1:18" hidden="1" x14ac:dyDescent="0.25">
      <c r="A48" t="s">
        <v>41</v>
      </c>
      <c r="B48" t="e">
        <v>#N/A</v>
      </c>
      <c r="C48" t="e">
        <v>#N/A</v>
      </c>
      <c r="D48" t="e">
        <v>#N/A</v>
      </c>
      <c r="E48" t="e">
        <v>#N/A</v>
      </c>
      <c r="F48">
        <v>51.55</v>
      </c>
      <c r="G48">
        <v>60.39</v>
      </c>
      <c r="H48">
        <v>67.680000000000007</v>
      </c>
      <c r="I48">
        <v>65.48</v>
      </c>
      <c r="J48" t="s">
        <v>41</v>
      </c>
      <c r="K48">
        <v>15.026956124789811</v>
      </c>
      <c r="L48">
        <v>3.7068387381979209</v>
      </c>
      <c r="M48">
        <v>6.4983881788479652</v>
      </c>
      <c r="N48">
        <v>4.187456506215347</v>
      </c>
      <c r="O48">
        <v>4.8826645653754062</v>
      </c>
      <c r="P48">
        <v>-0.3669094693028096</v>
      </c>
      <c r="Q48">
        <v>14.479348786494464</v>
      </c>
      <c r="R48">
        <v>12.516079590552042</v>
      </c>
    </row>
    <row r="49" spans="1:18" hidden="1" x14ac:dyDescent="0.25">
      <c r="A49" t="s">
        <v>55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>
        <v>9.3000000000000007</v>
      </c>
      <c r="J49" t="s">
        <v>55</v>
      </c>
      <c r="K49">
        <v>-3.6118965762760129</v>
      </c>
      <c r="L49">
        <v>72.219115055454125</v>
      </c>
      <c r="M49">
        <v>-23.652757352941173</v>
      </c>
      <c r="N49">
        <v>-25.103953733064632</v>
      </c>
      <c r="O49">
        <v>275.06062505692802</v>
      </c>
      <c r="P49">
        <v>36.22451355653223</v>
      </c>
      <c r="Q49">
        <v>5.2514072168127068</v>
      </c>
      <c r="R49">
        <v>-66.312330557827792</v>
      </c>
    </row>
  </sheetData>
  <autoFilter ref="A1:R49" xr:uid="{00000000-0009-0000-0000-000002000000}">
    <filterColumn colId="1">
      <filters>
        <filter val="11.71"/>
        <filter val="12.81"/>
        <filter val="13.1"/>
        <filter val="13.64"/>
        <filter val="14.96"/>
        <filter val="15.55"/>
        <filter val="16.42"/>
        <filter val="16.73"/>
        <filter val="17.08"/>
        <filter val="17.13"/>
        <filter val="18.87"/>
        <filter val="19.68"/>
        <filter val="20.96"/>
        <filter val="21.02"/>
        <filter val="21.93"/>
        <filter val="22"/>
        <filter val="23.81"/>
        <filter val="24.31"/>
        <filter val="25.2"/>
        <filter val="26.26"/>
        <filter val="27.74"/>
        <filter val="28.93"/>
        <filter val="40.51"/>
        <filter val="8.72"/>
        <filter val="9.66"/>
      </filters>
    </filterColumn>
    <filterColumn colId="4">
      <filters>
        <filter val="11.85"/>
        <filter val="11.96"/>
        <filter val="12.05"/>
        <filter val="12.06"/>
        <filter val="13.15"/>
        <filter val="13.95"/>
        <filter val="14.12"/>
        <filter val="15.04"/>
        <filter val="15.38"/>
        <filter val="15.74"/>
        <filter val="16.12"/>
        <filter val="16.28"/>
        <filter val="17.38"/>
        <filter val="18.09"/>
        <filter val="18.63"/>
        <filter val="19.22"/>
        <filter val="19.65"/>
        <filter val="19.81"/>
        <filter val="20.55"/>
        <filter val="21.51"/>
        <filter val="22.03"/>
        <filter val="22.64"/>
        <filter val="22.68"/>
        <filter val="23.19"/>
        <filter val="23.99"/>
        <filter val="24.05"/>
        <filter val="24.32"/>
        <filter val="25.46"/>
        <filter val="26.81"/>
        <filter val="27.24"/>
        <filter val="29.56"/>
        <filter val="46.07"/>
        <filter val="56.27"/>
      </filters>
    </filterColumn>
    <filterColumn colId="6">
      <filters>
        <filter val="10.24"/>
        <filter val="10.32"/>
        <filter val="10.54"/>
        <filter val="10.79"/>
        <filter val="11.86"/>
        <filter val="12.58"/>
        <filter val="13.21"/>
        <filter val="13.65"/>
        <filter val="13.71"/>
        <filter val="14.06"/>
        <filter val="14.44"/>
        <filter val="14.47"/>
        <filter val="15.09"/>
        <filter val="16.2"/>
        <filter val="16.7"/>
        <filter val="16.84"/>
        <filter val="17.43"/>
        <filter val="17.62"/>
        <filter val="17.74"/>
        <filter val="18.34"/>
        <filter val="19.45"/>
        <filter val="19.64"/>
        <filter val="19.67"/>
        <filter val="19.7"/>
        <filter val="20.02"/>
        <filter val="20.19"/>
        <filter val="20.58"/>
        <filter val="20.73"/>
        <filter val="24.85"/>
        <filter val="26.12"/>
        <filter val="26.73"/>
        <filter val="27.48"/>
        <filter val="30.51"/>
        <filter val="32.19"/>
        <filter val="35.63"/>
        <filter val="55.37"/>
        <filter val="60.39"/>
        <filter val="78.04"/>
        <filter val="8.82"/>
        <filter val="9.27"/>
      </filters>
    </filterColumn>
    <filterColumn colId="7">
      <filters>
        <filter val="10.42"/>
        <filter val="10.67"/>
        <filter val="10.89"/>
        <filter val="11.77"/>
        <filter val="11.97"/>
        <filter val="12.41"/>
        <filter val="12.59"/>
        <filter val="14.11"/>
        <filter val="14.79"/>
        <filter val="14.97"/>
        <filter val="15.02"/>
        <filter val="15.13"/>
        <filter val="15.44"/>
        <filter val="16.73"/>
        <filter val="16.77"/>
        <filter val="17.31"/>
        <filter val="18.02"/>
        <filter val="18.38"/>
        <filter val="18.6"/>
        <filter val="18.86"/>
        <filter val="19.88"/>
        <filter val="20.42"/>
        <filter val="20.68"/>
        <filter val="20.97"/>
        <filter val="21.65"/>
        <filter val="21.82"/>
        <filter val="22.94"/>
        <filter val="23.77"/>
        <filter val="23.95"/>
        <filter val="24.03"/>
        <filter val="25.39"/>
        <filter val="26.8"/>
        <filter val="28.67"/>
        <filter val="30.03"/>
        <filter val="31.02"/>
        <filter val="32.28"/>
        <filter val="32.63"/>
        <filter val="33.74"/>
        <filter val="34.27"/>
        <filter val="48.92"/>
        <filter val="67.68"/>
        <filter val="9.6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workbookViewId="0">
      <selection activeCell="A27" sqref="A2:A27"/>
    </sheetView>
  </sheetViews>
  <sheetFormatPr defaultRowHeight="15" x14ac:dyDescent="0.25"/>
  <sheetData>
    <row r="1" spans="1:18" x14ac:dyDescent="0.25">
      <c r="A1" t="s">
        <v>219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 t="s">
        <v>220</v>
      </c>
      <c r="K1">
        <v>2016</v>
      </c>
      <c r="L1">
        <v>2017</v>
      </c>
      <c r="M1">
        <v>2018</v>
      </c>
      <c r="N1">
        <v>2019</v>
      </c>
      <c r="O1">
        <v>2020</v>
      </c>
      <c r="P1">
        <v>2021</v>
      </c>
      <c r="Q1">
        <v>2022</v>
      </c>
      <c r="R1">
        <v>2023</v>
      </c>
    </row>
    <row r="2" spans="1:18" x14ac:dyDescent="0.25">
      <c r="A2" t="s">
        <v>29</v>
      </c>
      <c r="B2">
        <v>8.7200000000000006</v>
      </c>
      <c r="C2">
        <v>11.34</v>
      </c>
      <c r="D2">
        <v>12.21</v>
      </c>
      <c r="E2">
        <v>19.649999999999999</v>
      </c>
      <c r="F2">
        <v>17.28</v>
      </c>
      <c r="G2">
        <v>13.21</v>
      </c>
      <c r="H2">
        <v>10.67</v>
      </c>
      <c r="I2">
        <v>10.45</v>
      </c>
      <c r="J2" t="s">
        <v>29</v>
      </c>
      <c r="K2">
        <v>-3.671997590068929</v>
      </c>
      <c r="L2">
        <v>-5.8642868478291215</v>
      </c>
      <c r="M2">
        <v>-7.7982665780783629</v>
      </c>
      <c r="N2">
        <v>4.4537824616044067E-2</v>
      </c>
      <c r="O2">
        <v>-0.19305824558024268</v>
      </c>
      <c r="P2">
        <v>-9.0801730049166718</v>
      </c>
      <c r="Q2">
        <v>-13.338666095479827</v>
      </c>
      <c r="R2">
        <v>4.3801913875598091</v>
      </c>
    </row>
    <row r="3" spans="1:18" x14ac:dyDescent="0.25">
      <c r="A3" t="s">
        <v>3</v>
      </c>
      <c r="B3">
        <v>12.81</v>
      </c>
      <c r="C3">
        <v>12.26</v>
      </c>
      <c r="D3">
        <v>11.76</v>
      </c>
      <c r="E3">
        <v>12.06</v>
      </c>
      <c r="F3">
        <v>10.54</v>
      </c>
      <c r="G3">
        <v>10.54</v>
      </c>
      <c r="H3">
        <v>11.77</v>
      </c>
      <c r="I3">
        <v>11.93</v>
      </c>
      <c r="J3" t="s">
        <v>3</v>
      </c>
      <c r="K3">
        <v>-3.9593217145758959</v>
      </c>
      <c r="L3">
        <v>-1.3257558055127963</v>
      </c>
      <c r="M3">
        <v>3.5520256533311456</v>
      </c>
      <c r="N3">
        <v>7.2263575361179164</v>
      </c>
      <c r="O3">
        <v>2.571821743520573</v>
      </c>
      <c r="P3">
        <v>11.721590924206469</v>
      </c>
      <c r="Q3">
        <v>-0.20248943631449703</v>
      </c>
      <c r="R3">
        <v>-0.70746262160380602</v>
      </c>
    </row>
    <row r="4" spans="1:18" x14ac:dyDescent="0.25">
      <c r="A4" t="s">
        <v>8</v>
      </c>
      <c r="B4">
        <v>16.420000000000002</v>
      </c>
      <c r="C4">
        <v>14.93</v>
      </c>
      <c r="D4">
        <v>14.61</v>
      </c>
      <c r="E4">
        <v>13.95</v>
      </c>
      <c r="F4">
        <v>11.3</v>
      </c>
      <c r="G4">
        <v>10.79</v>
      </c>
      <c r="H4">
        <v>11.97</v>
      </c>
      <c r="I4">
        <v>12.43</v>
      </c>
      <c r="J4" t="s">
        <v>8</v>
      </c>
      <c r="K4">
        <v>-3.1244874638704037</v>
      </c>
      <c r="L4">
        <v>1.2123781498552928</v>
      </c>
      <c r="M4">
        <v>-2.9012332983704483</v>
      </c>
      <c r="N4">
        <v>7.9929679391684267</v>
      </c>
      <c r="O4">
        <v>-1.5880176257534726</v>
      </c>
      <c r="P4">
        <v>-4.3413561506420697</v>
      </c>
      <c r="Q4">
        <v>13.064433240273907</v>
      </c>
      <c r="R4">
        <v>-6.8302151026374949</v>
      </c>
    </row>
    <row r="5" spans="1:18" x14ac:dyDescent="0.25">
      <c r="A5" t="s">
        <v>1</v>
      </c>
      <c r="B5">
        <v>11.71</v>
      </c>
      <c r="C5">
        <v>11.82</v>
      </c>
      <c r="D5">
        <v>11.94</v>
      </c>
      <c r="E5">
        <v>11.96</v>
      </c>
      <c r="F5">
        <v>10.64</v>
      </c>
      <c r="G5">
        <v>10.24</v>
      </c>
      <c r="H5">
        <v>12.41</v>
      </c>
      <c r="I5">
        <v>12.85</v>
      </c>
      <c r="J5" t="s">
        <v>1</v>
      </c>
      <c r="K5">
        <v>8.6431701514961681</v>
      </c>
      <c r="L5">
        <v>0.31438241947696649</v>
      </c>
      <c r="M5">
        <v>8.4093371213644179</v>
      </c>
      <c r="N5">
        <v>12.537341269799226</v>
      </c>
      <c r="O5">
        <v>2.6534622885182446</v>
      </c>
      <c r="P5">
        <v>-22.078613034903459</v>
      </c>
      <c r="Q5">
        <v>-5.7261083511878228</v>
      </c>
      <c r="R5">
        <v>14.690210896594619</v>
      </c>
    </row>
    <row r="6" spans="1:18" x14ac:dyDescent="0.25">
      <c r="A6" t="s">
        <v>4</v>
      </c>
      <c r="B6">
        <v>13.1</v>
      </c>
      <c r="C6">
        <v>13.24</v>
      </c>
      <c r="D6">
        <v>13.28</v>
      </c>
      <c r="E6">
        <v>13.15</v>
      </c>
      <c r="F6">
        <v>10.33</v>
      </c>
      <c r="G6">
        <v>10.32</v>
      </c>
      <c r="H6">
        <v>12.59</v>
      </c>
      <c r="I6">
        <v>13.62</v>
      </c>
      <c r="J6" t="s">
        <v>4</v>
      </c>
      <c r="K6">
        <v>14.933217907494434</v>
      </c>
      <c r="L6">
        <v>-5.842793350191001</v>
      </c>
      <c r="M6">
        <v>11.050797097308731</v>
      </c>
      <c r="N6">
        <v>10.311294057113459</v>
      </c>
      <c r="O6">
        <v>-21.983301459956163</v>
      </c>
      <c r="P6">
        <v>0.79516919765635441</v>
      </c>
      <c r="Q6">
        <v>-2.5031140637048486</v>
      </c>
      <c r="R6">
        <v>-30.717284175944521</v>
      </c>
    </row>
    <row r="7" spans="1:18" x14ac:dyDescent="0.25">
      <c r="A7" t="s">
        <v>30</v>
      </c>
      <c r="B7">
        <v>9.66</v>
      </c>
      <c r="C7">
        <v>12.39</v>
      </c>
      <c r="D7">
        <v>12.72</v>
      </c>
      <c r="E7">
        <v>11.85</v>
      </c>
      <c r="F7">
        <v>18.27</v>
      </c>
      <c r="G7">
        <v>14.47</v>
      </c>
      <c r="H7">
        <v>9.65</v>
      </c>
      <c r="I7">
        <v>13.88</v>
      </c>
      <c r="J7" t="s">
        <v>30</v>
      </c>
      <c r="K7">
        <v>8.2683410442828809</v>
      </c>
      <c r="L7">
        <v>1.8863317257798669</v>
      </c>
      <c r="M7">
        <v>1.8573996405032953</v>
      </c>
      <c r="N7">
        <v>3.2941176470588238</v>
      </c>
      <c r="O7">
        <v>4.4988610478359909</v>
      </c>
      <c r="P7">
        <v>3.1607629427792916</v>
      </c>
      <c r="Q7">
        <v>26.782884310618066</v>
      </c>
      <c r="R7">
        <v>3.3333333333333335</v>
      </c>
    </row>
    <row r="8" spans="1:18" x14ac:dyDescent="0.25">
      <c r="A8" t="s">
        <v>6</v>
      </c>
      <c r="B8">
        <v>14.96</v>
      </c>
      <c r="C8">
        <v>15.13</v>
      </c>
      <c r="D8">
        <v>15.42</v>
      </c>
      <c r="E8">
        <v>15.04</v>
      </c>
      <c r="F8">
        <v>11.85</v>
      </c>
      <c r="G8">
        <v>12.58</v>
      </c>
      <c r="H8">
        <v>14.97</v>
      </c>
      <c r="I8">
        <v>14.67</v>
      </c>
      <c r="J8" t="s">
        <v>6</v>
      </c>
      <c r="K8">
        <v>-6.2815423660379581</v>
      </c>
      <c r="L8">
        <v>12.36789041141081</v>
      </c>
      <c r="M8">
        <v>-2.2193619060660046</v>
      </c>
      <c r="N8">
        <v>-3.1872363785058448</v>
      </c>
      <c r="O8">
        <v>6.6686608840149413</v>
      </c>
      <c r="P8">
        <v>-2.2299625675381614</v>
      </c>
      <c r="Q8">
        <v>2.9534656139885795</v>
      </c>
      <c r="R8">
        <v>-4.1606043009278579</v>
      </c>
    </row>
    <row r="9" spans="1:18" x14ac:dyDescent="0.25">
      <c r="A9" t="s">
        <v>5</v>
      </c>
      <c r="B9">
        <v>13.64</v>
      </c>
      <c r="C9">
        <v>14.21</v>
      </c>
      <c r="D9">
        <v>14.03</v>
      </c>
      <c r="E9">
        <v>14.12</v>
      </c>
      <c r="F9">
        <v>12.12</v>
      </c>
      <c r="G9">
        <v>11.86</v>
      </c>
      <c r="H9">
        <v>15.02</v>
      </c>
      <c r="I9">
        <v>15.05</v>
      </c>
      <c r="J9" t="s">
        <v>5</v>
      </c>
      <c r="K9">
        <v>-8.6658167700063764</v>
      </c>
      <c r="L9">
        <v>2.5204389926365134</v>
      </c>
      <c r="M9">
        <v>2.6883184394880697</v>
      </c>
      <c r="N9">
        <v>-26.639828363425984</v>
      </c>
      <c r="O9">
        <v>17.87756309148266</v>
      </c>
      <c r="P9">
        <v>25.639417381002151</v>
      </c>
      <c r="Q9">
        <v>-3.4934546261371215</v>
      </c>
      <c r="R9">
        <v>-9.8688370061270732</v>
      </c>
    </row>
    <row r="10" spans="1:18" x14ac:dyDescent="0.25">
      <c r="A10" t="s">
        <v>10</v>
      </c>
      <c r="B10">
        <v>17.079999999999998</v>
      </c>
      <c r="C10">
        <v>16.309999999999999</v>
      </c>
      <c r="D10">
        <v>15.63</v>
      </c>
      <c r="E10">
        <v>15.38</v>
      </c>
      <c r="F10">
        <v>14.32</v>
      </c>
      <c r="G10">
        <v>14.44</v>
      </c>
      <c r="H10">
        <v>15.13</v>
      </c>
      <c r="I10">
        <v>16.14</v>
      </c>
      <c r="J10" t="s">
        <v>10</v>
      </c>
      <c r="K10">
        <v>1.3140322360295287</v>
      </c>
      <c r="L10">
        <v>3.1950024767461063</v>
      </c>
      <c r="M10">
        <v>-2.7894077175391345</v>
      </c>
      <c r="N10">
        <v>10.336488080542065</v>
      </c>
      <c r="O10">
        <v>5.9870276592105229</v>
      </c>
      <c r="P10">
        <v>-4.7732764080790142</v>
      </c>
      <c r="Q10">
        <v>-6.5822211054781228</v>
      </c>
      <c r="R10">
        <v>-12.622685392725094</v>
      </c>
    </row>
    <row r="11" spans="1:18" x14ac:dyDescent="0.25">
      <c r="A11" t="s">
        <v>7</v>
      </c>
      <c r="B11">
        <v>15.55</v>
      </c>
      <c r="C11">
        <v>16.260000000000002</v>
      </c>
      <c r="D11">
        <v>15.21</v>
      </c>
      <c r="E11">
        <v>15.74</v>
      </c>
      <c r="F11">
        <v>19.93</v>
      </c>
      <c r="G11">
        <v>16.7</v>
      </c>
      <c r="H11">
        <v>15.44</v>
      </c>
      <c r="I11">
        <v>16.170000000000002</v>
      </c>
      <c r="J11" t="s">
        <v>7</v>
      </c>
      <c r="K11">
        <v>12.938007140538785</v>
      </c>
      <c r="L11">
        <v>7.2226277582034815</v>
      </c>
      <c r="M11">
        <v>9.3729730309251824</v>
      </c>
      <c r="N11">
        <v>21.693165777917191</v>
      </c>
      <c r="O11">
        <v>17.278376756493337</v>
      </c>
      <c r="P11">
        <v>9.6664079617025074</v>
      </c>
      <c r="Q11">
        <v>9.0326358574819476</v>
      </c>
      <c r="R11">
        <v>4.9059844279079918</v>
      </c>
    </row>
    <row r="12" spans="1:18" x14ac:dyDescent="0.25">
      <c r="A12" t="s">
        <v>15</v>
      </c>
      <c r="B12">
        <v>21.02</v>
      </c>
      <c r="C12">
        <v>16.38</v>
      </c>
      <c r="D12">
        <v>19.399999999999999</v>
      </c>
      <c r="E12">
        <v>23.19</v>
      </c>
      <c r="F12">
        <v>30.31</v>
      </c>
      <c r="G12">
        <v>20.02</v>
      </c>
      <c r="H12">
        <v>16.73</v>
      </c>
      <c r="I12">
        <v>18.670000000000002</v>
      </c>
      <c r="J12" t="s">
        <v>15</v>
      </c>
      <c r="K12">
        <v>-2.4444444444444446</v>
      </c>
      <c r="L12">
        <v>7.0615034168564916</v>
      </c>
      <c r="M12">
        <v>8.9361702127659584</v>
      </c>
      <c r="N12">
        <v>43.75</v>
      </c>
      <c r="O12">
        <v>5.2989130434782608</v>
      </c>
      <c r="P12">
        <v>163.09677419354838</v>
      </c>
      <c r="Q12">
        <v>10.250122609122119</v>
      </c>
      <c r="R12">
        <v>4.4483985765124556</v>
      </c>
    </row>
    <row r="13" spans="1:18" x14ac:dyDescent="0.25">
      <c r="A13" t="s">
        <v>9</v>
      </c>
      <c r="B13">
        <v>16.73</v>
      </c>
      <c r="C13">
        <v>16.86</v>
      </c>
      <c r="D13">
        <v>16.38</v>
      </c>
      <c r="E13">
        <v>16.12</v>
      </c>
      <c r="F13">
        <v>14.16</v>
      </c>
      <c r="G13">
        <v>13.71</v>
      </c>
      <c r="H13">
        <v>18.600000000000001</v>
      </c>
      <c r="I13">
        <v>18.920000000000002</v>
      </c>
      <c r="J13" t="s">
        <v>9</v>
      </c>
      <c r="K13">
        <v>-1.2905124972753914</v>
      </c>
      <c r="L13">
        <v>-14.65304115426817</v>
      </c>
      <c r="M13">
        <v>-0.12376402681199145</v>
      </c>
      <c r="N13">
        <v>12.557799184388555</v>
      </c>
      <c r="O13">
        <v>6.2354436242362272</v>
      </c>
      <c r="P13">
        <v>14.693408078258837</v>
      </c>
      <c r="Q13">
        <v>-5.3809484863709107</v>
      </c>
      <c r="R13">
        <v>-12.371450151368284</v>
      </c>
    </row>
    <row r="14" spans="1:18" x14ac:dyDescent="0.25">
      <c r="A14" t="s">
        <v>12</v>
      </c>
      <c r="B14">
        <v>18.87</v>
      </c>
      <c r="C14">
        <v>18.25</v>
      </c>
      <c r="D14">
        <v>19.05</v>
      </c>
      <c r="E14">
        <v>19.22</v>
      </c>
      <c r="F14">
        <v>14.9</v>
      </c>
      <c r="G14">
        <v>15.09</v>
      </c>
      <c r="H14">
        <v>18.86</v>
      </c>
      <c r="I14">
        <v>19.75</v>
      </c>
      <c r="J14" t="s">
        <v>12</v>
      </c>
      <c r="K14">
        <v>2.3505899271307045</v>
      </c>
      <c r="L14">
        <v>27.801129176943213</v>
      </c>
      <c r="M14">
        <v>11.851201639813439</v>
      </c>
      <c r="N14">
        <v>-2.1471104358918724</v>
      </c>
      <c r="O14">
        <v>50.524842649463821</v>
      </c>
      <c r="P14">
        <v>-5.1753420150708385</v>
      </c>
      <c r="Q14">
        <v>-3.3031027596432643</v>
      </c>
      <c r="R14">
        <v>18.795221210838264</v>
      </c>
    </row>
    <row r="15" spans="1:18" x14ac:dyDescent="0.25">
      <c r="A15" t="s">
        <v>11</v>
      </c>
      <c r="B15">
        <v>17.13</v>
      </c>
      <c r="C15">
        <v>20.12</v>
      </c>
      <c r="D15">
        <v>19.09</v>
      </c>
      <c r="E15">
        <v>22.64</v>
      </c>
      <c r="F15">
        <v>25.93</v>
      </c>
      <c r="G15">
        <v>19.7</v>
      </c>
      <c r="H15">
        <v>16.77</v>
      </c>
      <c r="I15">
        <v>20.420000000000002</v>
      </c>
      <c r="J15" t="s">
        <v>11</v>
      </c>
      <c r="K15">
        <v>22.64946500344983</v>
      </c>
      <c r="L15">
        <v>-7.5497812304670067</v>
      </c>
      <c r="M15">
        <v>11.854928285120971</v>
      </c>
      <c r="N15">
        <v>-17.185192860658489</v>
      </c>
      <c r="O15">
        <v>-3.3821306056909375</v>
      </c>
      <c r="P15">
        <v>-8.2171690410335074</v>
      </c>
      <c r="Q15">
        <v>-15.761502192853532</v>
      </c>
      <c r="R15">
        <v>3.8286527832058539</v>
      </c>
    </row>
    <row r="16" spans="1:18" x14ac:dyDescent="0.25">
      <c r="A16" t="s">
        <v>21</v>
      </c>
      <c r="B16">
        <v>24.31</v>
      </c>
      <c r="C16">
        <v>22.89</v>
      </c>
      <c r="D16">
        <v>22.41</v>
      </c>
      <c r="E16">
        <v>21.51</v>
      </c>
      <c r="F16">
        <v>16.829999999999998</v>
      </c>
      <c r="G16">
        <v>17.62</v>
      </c>
      <c r="H16">
        <v>20.68</v>
      </c>
      <c r="I16">
        <v>20.93</v>
      </c>
      <c r="J16" t="s">
        <v>21</v>
      </c>
      <c r="K16">
        <v>-46.341463414634148</v>
      </c>
      <c r="L16">
        <v>70.454545454545453</v>
      </c>
      <c r="M16">
        <v>48</v>
      </c>
      <c r="N16">
        <v>-22.522522522522522</v>
      </c>
      <c r="O16">
        <v>143.02325581395351</v>
      </c>
      <c r="P16">
        <v>6.6985645933014357</v>
      </c>
      <c r="Q16">
        <v>8.9686098654708513</v>
      </c>
      <c r="R16">
        <v>7.4074074074074066</v>
      </c>
    </row>
    <row r="17" spans="1:18" x14ac:dyDescent="0.25">
      <c r="A17" t="s">
        <v>13</v>
      </c>
      <c r="B17">
        <v>19.68</v>
      </c>
      <c r="C17">
        <v>19.829999999999998</v>
      </c>
      <c r="D17">
        <v>20.350000000000001</v>
      </c>
      <c r="E17">
        <v>20.55</v>
      </c>
      <c r="F17">
        <v>17.29</v>
      </c>
      <c r="G17">
        <v>18.34</v>
      </c>
      <c r="H17">
        <v>20.420000000000002</v>
      </c>
      <c r="I17">
        <v>21.48</v>
      </c>
      <c r="J17" t="s">
        <v>13</v>
      </c>
      <c r="K17">
        <v>2.3358954885303915</v>
      </c>
      <c r="L17">
        <v>-0.89539456026350184</v>
      </c>
      <c r="M17">
        <v>14.992624051464478</v>
      </c>
      <c r="N17">
        <v>3.875234066458713</v>
      </c>
      <c r="O17">
        <v>6.238351127717964</v>
      </c>
      <c r="P17">
        <v>28.553982430460621</v>
      </c>
      <c r="Q17">
        <v>-2.5140240577791269</v>
      </c>
      <c r="R17">
        <v>-1.4471783219161194</v>
      </c>
    </row>
    <row r="18" spans="1:18" x14ac:dyDescent="0.25">
      <c r="A18" t="s">
        <v>16</v>
      </c>
      <c r="B18">
        <v>21.93</v>
      </c>
      <c r="C18">
        <v>27.37</v>
      </c>
      <c r="D18">
        <v>23.17</v>
      </c>
      <c r="E18">
        <v>18.09</v>
      </c>
      <c r="F18">
        <v>14.15</v>
      </c>
      <c r="G18">
        <v>17.43</v>
      </c>
      <c r="H18">
        <v>21.82</v>
      </c>
      <c r="I18">
        <v>22.48</v>
      </c>
      <c r="J18" t="s">
        <v>16</v>
      </c>
      <c r="K18">
        <v>-5.5170034456706363</v>
      </c>
      <c r="L18">
        <v>7.456898544025881</v>
      </c>
      <c r="M18">
        <v>13.215525436268456</v>
      </c>
      <c r="N18">
        <v>11.935669607382946</v>
      </c>
      <c r="O18">
        <v>-46.763916586776261</v>
      </c>
      <c r="P18">
        <v>-12.334056338279604</v>
      </c>
      <c r="Q18">
        <v>10.909090909090908</v>
      </c>
      <c r="R18">
        <v>2.622950819672131</v>
      </c>
    </row>
    <row r="19" spans="1:18" x14ac:dyDescent="0.25">
      <c r="A19" t="s">
        <v>17</v>
      </c>
      <c r="B19">
        <v>21.93</v>
      </c>
      <c r="C19">
        <v>20.86</v>
      </c>
      <c r="D19">
        <v>22.33</v>
      </c>
      <c r="E19">
        <v>22.68</v>
      </c>
      <c r="F19">
        <v>18.55</v>
      </c>
      <c r="G19">
        <v>17.739999999999998</v>
      </c>
      <c r="H19">
        <v>22.94</v>
      </c>
      <c r="I19">
        <v>22.77</v>
      </c>
      <c r="J19" t="s">
        <v>17</v>
      </c>
      <c r="K19">
        <v>1.4991929382093323</v>
      </c>
      <c r="L19">
        <v>12.892889773814659</v>
      </c>
      <c r="M19">
        <v>-18.790705454833585</v>
      </c>
      <c r="N19">
        <v>2.7585720906658886</v>
      </c>
      <c r="O19">
        <v>-0.42992374788005394</v>
      </c>
      <c r="P19">
        <v>11.518461909315597</v>
      </c>
      <c r="Q19">
        <v>4.5488016342430937</v>
      </c>
      <c r="R19">
        <v>-20.21175080656155</v>
      </c>
    </row>
    <row r="20" spans="1:18" x14ac:dyDescent="0.25">
      <c r="A20" t="s">
        <v>18</v>
      </c>
      <c r="B20">
        <v>22</v>
      </c>
      <c r="C20">
        <v>25.61</v>
      </c>
      <c r="D20">
        <v>24.7</v>
      </c>
      <c r="E20">
        <v>24.05</v>
      </c>
      <c r="F20">
        <v>18.91</v>
      </c>
      <c r="G20">
        <v>20.73</v>
      </c>
      <c r="H20">
        <v>23.77</v>
      </c>
      <c r="I20">
        <v>23.97</v>
      </c>
      <c r="J20" t="s">
        <v>18</v>
      </c>
      <c r="K20">
        <v>5.6388149574906103</v>
      </c>
      <c r="L20">
        <v>-9.4510871965894458E-2</v>
      </c>
      <c r="M20">
        <v>3.9183195222835456</v>
      </c>
      <c r="N20">
        <v>7.9449148800844291</v>
      </c>
      <c r="O20">
        <v>14.314650644063736</v>
      </c>
      <c r="P20">
        <v>-12.787804383776342</v>
      </c>
      <c r="Q20">
        <v>6.5428465646895999</v>
      </c>
      <c r="R20">
        <v>-3.6372570557268737</v>
      </c>
    </row>
    <row r="21" spans="1:18" x14ac:dyDescent="0.25">
      <c r="A21" t="s">
        <v>14</v>
      </c>
      <c r="B21">
        <v>20.96</v>
      </c>
      <c r="C21">
        <v>22.56</v>
      </c>
      <c r="D21">
        <v>21.4</v>
      </c>
      <c r="E21">
        <v>22.03</v>
      </c>
      <c r="F21">
        <v>17.809999999999999</v>
      </c>
      <c r="G21">
        <v>16.84</v>
      </c>
      <c r="H21">
        <v>25.39</v>
      </c>
      <c r="I21">
        <v>24.85</v>
      </c>
      <c r="J21" t="s">
        <v>14</v>
      </c>
      <c r="K21">
        <v>26.44367592592592</v>
      </c>
      <c r="L21">
        <v>15.120039174227559</v>
      </c>
      <c r="M21">
        <v>22.713229572454708</v>
      </c>
      <c r="N21">
        <v>-28.342583149205286</v>
      </c>
      <c r="O21">
        <v>43.445818164035828</v>
      </c>
      <c r="P21">
        <v>-17.243346422740117</v>
      </c>
      <c r="Q21">
        <v>9.9955284039583141</v>
      </c>
      <c r="R21">
        <v>15.416464849055206</v>
      </c>
    </row>
    <row r="22" spans="1:18" x14ac:dyDescent="0.25">
      <c r="A22" t="s">
        <v>23</v>
      </c>
      <c r="B22">
        <v>26.26</v>
      </c>
      <c r="C22">
        <v>22.95</v>
      </c>
      <c r="D22">
        <v>23.57</v>
      </c>
      <c r="E22">
        <v>23.99</v>
      </c>
      <c r="F22">
        <v>20.53</v>
      </c>
      <c r="G22">
        <v>19.670000000000002</v>
      </c>
      <c r="H22">
        <v>24.03</v>
      </c>
      <c r="I22">
        <v>25.15</v>
      </c>
      <c r="J22" t="s">
        <v>23</v>
      </c>
      <c r="K22">
        <v>5.1742843967502541</v>
      </c>
      <c r="L22">
        <v>0.10545826409305893</v>
      </c>
      <c r="M22">
        <v>-7.4220699122107003</v>
      </c>
      <c r="N22">
        <v>-8.7050807377256909</v>
      </c>
      <c r="O22">
        <v>-4.9763185367939213</v>
      </c>
      <c r="P22">
        <v>15.956435068632768</v>
      </c>
      <c r="Q22">
        <v>-10.533974259213677</v>
      </c>
      <c r="R22">
        <v>-3.2225238855391498</v>
      </c>
    </row>
    <row r="23" spans="1:18" x14ac:dyDescent="0.25">
      <c r="A23" t="s">
        <v>24</v>
      </c>
      <c r="B23">
        <v>27.74</v>
      </c>
      <c r="C23">
        <v>27.11</v>
      </c>
      <c r="D23">
        <v>26.66</v>
      </c>
      <c r="E23">
        <v>25.46</v>
      </c>
      <c r="F23">
        <v>20.27</v>
      </c>
      <c r="G23">
        <v>20.58</v>
      </c>
      <c r="H23">
        <v>23.95</v>
      </c>
      <c r="I23">
        <v>25.39</v>
      </c>
      <c r="J23" t="s">
        <v>24</v>
      </c>
      <c r="K23">
        <v>-2.0737316561850636</v>
      </c>
      <c r="L23">
        <v>9.6210342860688627</v>
      </c>
      <c r="M23">
        <v>12.299173445448616</v>
      </c>
      <c r="N23">
        <v>-12.95870300735786</v>
      </c>
      <c r="O23">
        <v>-11.172159866501218</v>
      </c>
      <c r="P23">
        <v>1.1987851294608418</v>
      </c>
      <c r="Q23">
        <v>-1.3871954556129873</v>
      </c>
      <c r="R23">
        <v>-10.970363272176352</v>
      </c>
    </row>
    <row r="24" spans="1:18" x14ac:dyDescent="0.25">
      <c r="A24" t="s">
        <v>22</v>
      </c>
      <c r="B24">
        <v>25.2</v>
      </c>
      <c r="C24">
        <v>25.37</v>
      </c>
      <c r="D24">
        <v>25.79</v>
      </c>
      <c r="E24">
        <v>26.81</v>
      </c>
      <c r="F24">
        <v>26.14</v>
      </c>
      <c r="G24">
        <v>26.73</v>
      </c>
      <c r="H24">
        <v>28.67</v>
      </c>
      <c r="I24">
        <v>28.72</v>
      </c>
      <c r="J24" t="s">
        <v>22</v>
      </c>
      <c r="K24">
        <v>13.877168723647751</v>
      </c>
      <c r="L24">
        <v>1.7828015361821155</v>
      </c>
      <c r="M24">
        <v>-3.9048459939679017</v>
      </c>
      <c r="N24">
        <v>4.4667173505604323</v>
      </c>
      <c r="O24">
        <v>-3.7110437774225264</v>
      </c>
      <c r="P24">
        <v>-5.3108075337482825</v>
      </c>
      <c r="Q24">
        <v>-4.2958852654942747</v>
      </c>
      <c r="R24">
        <v>0.477397647621295</v>
      </c>
    </row>
    <row r="25" spans="1:18" x14ac:dyDescent="0.25">
      <c r="A25" t="s">
        <v>26</v>
      </c>
      <c r="B25">
        <v>28.93</v>
      </c>
      <c r="C25">
        <v>27.21</v>
      </c>
      <c r="D25">
        <v>27.11</v>
      </c>
      <c r="E25">
        <v>27.24</v>
      </c>
      <c r="F25">
        <v>28.13</v>
      </c>
      <c r="G25">
        <v>32.19</v>
      </c>
      <c r="H25">
        <v>32.630000000000003</v>
      </c>
      <c r="I25">
        <v>31.68</v>
      </c>
      <c r="J25" t="s">
        <v>26</v>
      </c>
      <c r="K25">
        <v>14.268142681426815</v>
      </c>
      <c r="L25">
        <v>10.010764262648008</v>
      </c>
      <c r="M25">
        <v>7.3385518590998036</v>
      </c>
      <c r="N25">
        <v>-2.096627164995442</v>
      </c>
      <c r="O25">
        <v>-17.597765363128492</v>
      </c>
      <c r="P25">
        <v>-3.050847457627119</v>
      </c>
      <c r="Q25">
        <v>26.689976689976692</v>
      </c>
      <c r="R25">
        <v>25.482980680772769</v>
      </c>
    </row>
    <row r="26" spans="1:18" x14ac:dyDescent="0.25">
      <c r="A26" t="s">
        <v>20</v>
      </c>
      <c r="B26">
        <v>23.81</v>
      </c>
      <c r="C26">
        <v>20.97</v>
      </c>
      <c r="D26">
        <v>19.77</v>
      </c>
      <c r="E26">
        <v>24.32</v>
      </c>
      <c r="F26">
        <v>24.9</v>
      </c>
      <c r="G26">
        <v>55.37</v>
      </c>
      <c r="H26">
        <v>48.92</v>
      </c>
      <c r="I26">
        <v>32.15</v>
      </c>
      <c r="J26" t="s">
        <v>20</v>
      </c>
      <c r="K26">
        <v>6.9474589498778885</v>
      </c>
      <c r="L26">
        <v>5.8926624897778774</v>
      </c>
      <c r="M26">
        <v>3.0905090507336497</v>
      </c>
      <c r="N26">
        <v>3.4622093554979472</v>
      </c>
      <c r="O26">
        <v>3.8354226936676312</v>
      </c>
      <c r="P26">
        <v>2.1255247158176278</v>
      </c>
      <c r="Q26">
        <v>3.500247235415479</v>
      </c>
      <c r="R26">
        <v>4.4300277899502953</v>
      </c>
    </row>
    <row r="27" spans="1:18" x14ac:dyDescent="0.25">
      <c r="A27" t="s">
        <v>27</v>
      </c>
      <c r="B27">
        <v>40.51</v>
      </c>
      <c r="C27">
        <v>50.51</v>
      </c>
      <c r="D27">
        <v>48.15</v>
      </c>
      <c r="E27">
        <v>56.27</v>
      </c>
      <c r="F27">
        <v>49.5</v>
      </c>
      <c r="G27">
        <v>78.040000000000006</v>
      </c>
      <c r="H27">
        <v>32.28</v>
      </c>
      <c r="I27">
        <v>33.28</v>
      </c>
      <c r="J27" t="s">
        <v>27</v>
      </c>
      <c r="K27">
        <v>2.1729166666666666</v>
      </c>
      <c r="L27">
        <v>14.505841812287173</v>
      </c>
      <c r="M27">
        <v>17.285258676106853</v>
      </c>
      <c r="N27">
        <v>8.1804931373739826</v>
      </c>
      <c r="O27">
        <v>7.8173244259810248</v>
      </c>
      <c r="P27">
        <v>9.7224753325870186</v>
      </c>
      <c r="Q27">
        <v>3.6706172663748204</v>
      </c>
      <c r="R27">
        <v>6.1280540138467696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7"/>
  <sheetViews>
    <sheetView tabSelected="1" zoomScale="70" zoomScaleNormal="70" workbookViewId="0">
      <selection activeCell="U13" sqref="U13"/>
    </sheetView>
  </sheetViews>
  <sheetFormatPr defaultRowHeight="15" x14ac:dyDescent="0.25"/>
  <cols>
    <col min="9" max="11" width="9.140625" style="1"/>
  </cols>
  <sheetData>
    <row r="1" spans="1:17" x14ac:dyDescent="0.25">
      <c r="A1" t="s">
        <v>0</v>
      </c>
      <c r="B1" t="s">
        <v>221</v>
      </c>
      <c r="C1" t="s">
        <v>222</v>
      </c>
      <c r="D1" t="s">
        <v>219</v>
      </c>
      <c r="E1" t="s">
        <v>223</v>
      </c>
      <c r="G1" t="s">
        <v>760</v>
      </c>
      <c r="I1" s="1" t="s">
        <v>0</v>
      </c>
      <c r="J1" s="2" t="s">
        <v>225</v>
      </c>
      <c r="K1" s="1" t="s">
        <v>226</v>
      </c>
      <c r="M1" t="s">
        <v>0</v>
      </c>
      <c r="O1" t="s">
        <v>360</v>
      </c>
      <c r="P1" t="s">
        <v>305</v>
      </c>
      <c r="Q1" t="s">
        <v>254</v>
      </c>
    </row>
    <row r="2" spans="1:17" x14ac:dyDescent="0.25">
      <c r="A2" t="s">
        <v>30</v>
      </c>
      <c r="B2">
        <v>2016</v>
      </c>
      <c r="C2">
        <v>8.2683410442828809</v>
      </c>
      <c r="D2">
        <v>9.66</v>
      </c>
      <c r="E2">
        <v>1</v>
      </c>
      <c r="F2" t="s">
        <v>447</v>
      </c>
      <c r="G2">
        <v>13.81</v>
      </c>
      <c r="I2" s="1" t="s">
        <v>227</v>
      </c>
      <c r="J2" s="1" t="s">
        <v>56</v>
      </c>
      <c r="K2" s="1" t="s">
        <v>228</v>
      </c>
      <c r="M2" t="s">
        <v>30</v>
      </c>
      <c r="N2" t="str">
        <f>VLOOKUP(M2,J:K,2,FALSE)</f>
        <v>UMIC</v>
      </c>
      <c r="O2">
        <f>IF($N2=O$1,1,0)</f>
        <v>0</v>
      </c>
      <c r="P2">
        <f t="shared" ref="P2:Q17" si="0">IF($N2=P$1,1,0)</f>
        <v>1</v>
      </c>
      <c r="Q2">
        <f t="shared" si="0"/>
        <v>0</v>
      </c>
    </row>
    <row r="3" spans="1:17" x14ac:dyDescent="0.25">
      <c r="A3" t="s">
        <v>30</v>
      </c>
      <c r="B3">
        <v>2017</v>
      </c>
      <c r="C3">
        <v>1.8863317257798669</v>
      </c>
      <c r="D3">
        <v>12.39</v>
      </c>
      <c r="E3">
        <v>1</v>
      </c>
      <c r="F3" t="s">
        <v>448</v>
      </c>
      <c r="G3">
        <v>14.18</v>
      </c>
      <c r="I3" s="1" t="s">
        <v>229</v>
      </c>
      <c r="J3" s="1" t="s">
        <v>80</v>
      </c>
      <c r="K3" s="1" t="s">
        <v>228</v>
      </c>
      <c r="M3" t="s">
        <v>30</v>
      </c>
      <c r="N3" t="str">
        <f t="shared" ref="N3:N66" si="1">VLOOKUP(M3,J:K,2,FALSE)</f>
        <v>UMIC</v>
      </c>
      <c r="O3">
        <f t="shared" ref="O3:Q66" si="2">IF($N3=O$1,1,0)</f>
        <v>0</v>
      </c>
      <c r="P3">
        <f t="shared" si="0"/>
        <v>1</v>
      </c>
      <c r="Q3">
        <f t="shared" si="0"/>
        <v>0</v>
      </c>
    </row>
    <row r="4" spans="1:17" x14ac:dyDescent="0.25">
      <c r="A4" t="s">
        <v>30</v>
      </c>
      <c r="B4">
        <v>2018</v>
      </c>
      <c r="C4">
        <v>1.8573996405032953</v>
      </c>
      <c r="D4">
        <v>12.72</v>
      </c>
      <c r="E4">
        <v>1</v>
      </c>
      <c r="F4" t="s">
        <v>449</v>
      </c>
      <c r="G4">
        <v>15.12</v>
      </c>
      <c r="I4" s="1" t="s">
        <v>230</v>
      </c>
      <c r="J4" s="1" t="s">
        <v>81</v>
      </c>
      <c r="K4" s="1" t="s">
        <v>228</v>
      </c>
      <c r="M4" t="s">
        <v>30</v>
      </c>
      <c r="N4" t="str">
        <f t="shared" si="1"/>
        <v>UMIC</v>
      </c>
      <c r="O4">
        <f t="shared" si="2"/>
        <v>0</v>
      </c>
      <c r="P4">
        <f t="shared" si="0"/>
        <v>1</v>
      </c>
      <c r="Q4">
        <f t="shared" si="0"/>
        <v>0</v>
      </c>
    </row>
    <row r="5" spans="1:17" x14ac:dyDescent="0.25">
      <c r="A5" t="s">
        <v>30</v>
      </c>
      <c r="B5">
        <v>2019</v>
      </c>
      <c r="C5">
        <v>3.2941176470588238</v>
      </c>
      <c r="D5">
        <v>11.85</v>
      </c>
      <c r="E5">
        <v>1</v>
      </c>
      <c r="F5" t="s">
        <v>450</v>
      </c>
      <c r="G5">
        <v>14.34</v>
      </c>
      <c r="I5" s="1" t="s">
        <v>231</v>
      </c>
      <c r="J5" s="1" t="s">
        <v>86</v>
      </c>
      <c r="K5" s="1" t="s">
        <v>228</v>
      </c>
      <c r="M5" t="s">
        <v>30</v>
      </c>
      <c r="N5" t="str">
        <f t="shared" si="1"/>
        <v>UMIC</v>
      </c>
      <c r="O5">
        <f t="shared" si="2"/>
        <v>0</v>
      </c>
      <c r="P5">
        <f t="shared" si="0"/>
        <v>1</v>
      </c>
      <c r="Q5">
        <f t="shared" si="0"/>
        <v>0</v>
      </c>
    </row>
    <row r="6" spans="1:17" x14ac:dyDescent="0.25">
      <c r="A6" t="s">
        <v>30</v>
      </c>
      <c r="B6">
        <v>2020</v>
      </c>
      <c r="C6">
        <v>4.4988610478359909</v>
      </c>
      <c r="D6">
        <v>18.27</v>
      </c>
      <c r="E6">
        <v>1</v>
      </c>
      <c r="F6" t="s">
        <v>451</v>
      </c>
      <c r="G6">
        <v>13.99</v>
      </c>
      <c r="I6" s="1" t="s">
        <v>232</v>
      </c>
      <c r="J6" s="1" t="s">
        <v>87</v>
      </c>
      <c r="K6" s="1" t="s">
        <v>228</v>
      </c>
      <c r="M6" t="s">
        <v>30</v>
      </c>
      <c r="N6" t="str">
        <f t="shared" si="1"/>
        <v>UMIC</v>
      </c>
      <c r="O6">
        <f t="shared" si="2"/>
        <v>0</v>
      </c>
      <c r="P6">
        <f t="shared" si="0"/>
        <v>1</v>
      </c>
      <c r="Q6">
        <f t="shared" si="0"/>
        <v>0</v>
      </c>
    </row>
    <row r="7" spans="1:17" x14ac:dyDescent="0.25">
      <c r="A7" t="s">
        <v>30</v>
      </c>
      <c r="B7">
        <v>2021</v>
      </c>
      <c r="C7">
        <v>3.1607629427792916</v>
      </c>
      <c r="D7">
        <v>14.47</v>
      </c>
      <c r="E7">
        <v>1</v>
      </c>
      <c r="F7" t="s">
        <v>452</v>
      </c>
      <c r="G7">
        <v>15.05</v>
      </c>
      <c r="I7" s="1" t="s">
        <v>233</v>
      </c>
      <c r="J7" s="1" t="s">
        <v>92</v>
      </c>
      <c r="K7" s="1" t="s">
        <v>228</v>
      </c>
      <c r="M7" t="s">
        <v>30</v>
      </c>
      <c r="N7" t="str">
        <f t="shared" si="1"/>
        <v>UMIC</v>
      </c>
      <c r="O7">
        <f t="shared" si="2"/>
        <v>0</v>
      </c>
      <c r="P7">
        <f t="shared" si="0"/>
        <v>1</v>
      </c>
      <c r="Q7">
        <f t="shared" si="0"/>
        <v>0</v>
      </c>
    </row>
    <row r="8" spans="1:17" x14ac:dyDescent="0.25">
      <c r="A8" t="s">
        <v>30</v>
      </c>
      <c r="B8">
        <v>2022</v>
      </c>
      <c r="C8">
        <v>26.782884310618066</v>
      </c>
      <c r="D8">
        <v>9.65</v>
      </c>
      <c r="E8">
        <v>1</v>
      </c>
      <c r="F8" t="s">
        <v>453</v>
      </c>
      <c r="G8">
        <v>14.55</v>
      </c>
      <c r="I8" s="1" t="s">
        <v>234</v>
      </c>
      <c r="J8" s="1" t="s">
        <v>104</v>
      </c>
      <c r="K8" s="1" t="s">
        <v>228</v>
      </c>
      <c r="M8" t="s">
        <v>30</v>
      </c>
      <c r="N8" t="str">
        <f t="shared" si="1"/>
        <v>UMIC</v>
      </c>
      <c r="O8">
        <f t="shared" si="2"/>
        <v>0</v>
      </c>
      <c r="P8">
        <f t="shared" si="0"/>
        <v>1</v>
      </c>
      <c r="Q8">
        <f t="shared" si="0"/>
        <v>0</v>
      </c>
    </row>
    <row r="9" spans="1:17" x14ac:dyDescent="0.25">
      <c r="A9" t="s">
        <v>30</v>
      </c>
      <c r="B9">
        <v>2023</v>
      </c>
      <c r="C9">
        <v>3.3333333333333335</v>
      </c>
      <c r="D9">
        <v>13.88</v>
      </c>
      <c r="E9">
        <v>1</v>
      </c>
      <c r="F9" t="s">
        <v>454</v>
      </c>
      <c r="G9">
        <v>14.86</v>
      </c>
      <c r="I9" s="1" t="s">
        <v>235</v>
      </c>
      <c r="J9" s="1" t="s">
        <v>111</v>
      </c>
      <c r="K9" s="1" t="s">
        <v>228</v>
      </c>
      <c r="M9" t="s">
        <v>30</v>
      </c>
      <c r="N9" t="str">
        <f t="shared" si="1"/>
        <v>UMIC</v>
      </c>
      <c r="O9">
        <f t="shared" si="2"/>
        <v>0</v>
      </c>
      <c r="P9">
        <f t="shared" si="0"/>
        <v>1</v>
      </c>
      <c r="Q9">
        <f t="shared" si="0"/>
        <v>0</v>
      </c>
    </row>
    <row r="10" spans="1:17" x14ac:dyDescent="0.25">
      <c r="A10" t="s">
        <v>21</v>
      </c>
      <c r="B10">
        <v>2016</v>
      </c>
      <c r="C10">
        <v>-46.341463414634148</v>
      </c>
      <c r="D10">
        <v>24.31</v>
      </c>
      <c r="E10">
        <v>2</v>
      </c>
      <c r="F10" t="s">
        <v>455</v>
      </c>
      <c r="G10">
        <v>14.9</v>
      </c>
      <c r="I10" s="1" t="s">
        <v>236</v>
      </c>
      <c r="J10" s="1" t="s">
        <v>120</v>
      </c>
      <c r="K10" s="1" t="s">
        <v>228</v>
      </c>
      <c r="M10" t="s">
        <v>21</v>
      </c>
      <c r="N10" t="str">
        <f t="shared" si="1"/>
        <v>HIC</v>
      </c>
      <c r="O10">
        <f t="shared" si="2"/>
        <v>1</v>
      </c>
      <c r="P10">
        <f t="shared" si="0"/>
        <v>0</v>
      </c>
      <c r="Q10">
        <f t="shared" si="0"/>
        <v>0</v>
      </c>
    </row>
    <row r="11" spans="1:17" x14ac:dyDescent="0.25">
      <c r="A11" t="s">
        <v>21</v>
      </c>
      <c r="B11">
        <v>2017</v>
      </c>
      <c r="C11">
        <v>70.454545454545453</v>
      </c>
      <c r="D11">
        <v>22.89</v>
      </c>
      <c r="E11">
        <v>2</v>
      </c>
      <c r="F11" t="s">
        <v>456</v>
      </c>
      <c r="G11">
        <v>15.28</v>
      </c>
      <c r="I11" s="1" t="s">
        <v>237</v>
      </c>
      <c r="J11" s="1" t="s">
        <v>133</v>
      </c>
      <c r="K11" s="1" t="s">
        <v>228</v>
      </c>
      <c r="M11" t="s">
        <v>21</v>
      </c>
      <c r="N11" t="str">
        <f t="shared" si="1"/>
        <v>HIC</v>
      </c>
      <c r="O11">
        <f t="shared" si="2"/>
        <v>1</v>
      </c>
      <c r="P11">
        <f t="shared" si="0"/>
        <v>0</v>
      </c>
      <c r="Q11">
        <f t="shared" si="0"/>
        <v>0</v>
      </c>
    </row>
    <row r="12" spans="1:17" x14ac:dyDescent="0.25">
      <c r="A12" t="s">
        <v>21</v>
      </c>
      <c r="B12">
        <v>2018</v>
      </c>
      <c r="C12">
        <v>48</v>
      </c>
      <c r="D12">
        <v>22.41</v>
      </c>
      <c r="E12">
        <v>2</v>
      </c>
      <c r="F12" t="s">
        <v>457</v>
      </c>
      <c r="G12">
        <v>16.25</v>
      </c>
      <c r="I12" s="1" t="s">
        <v>238</v>
      </c>
      <c r="J12" s="1" t="s">
        <v>138</v>
      </c>
      <c r="K12" s="1" t="s">
        <v>228</v>
      </c>
      <c r="M12" t="s">
        <v>21</v>
      </c>
      <c r="N12" t="str">
        <f t="shared" si="1"/>
        <v>HIC</v>
      </c>
      <c r="O12">
        <f t="shared" si="2"/>
        <v>1</v>
      </c>
      <c r="P12">
        <f t="shared" si="0"/>
        <v>0</v>
      </c>
      <c r="Q12">
        <f t="shared" si="0"/>
        <v>0</v>
      </c>
    </row>
    <row r="13" spans="1:17" x14ac:dyDescent="0.25">
      <c r="A13" t="s">
        <v>21</v>
      </c>
      <c r="B13">
        <v>2019</v>
      </c>
      <c r="C13">
        <v>-22.522522522522522</v>
      </c>
      <c r="D13">
        <v>21.51</v>
      </c>
      <c r="E13">
        <v>2</v>
      </c>
      <c r="F13" t="s">
        <v>458</v>
      </c>
      <c r="G13">
        <v>15.88</v>
      </c>
      <c r="I13" s="1" t="s">
        <v>239</v>
      </c>
      <c r="J13" s="1" t="s">
        <v>143</v>
      </c>
      <c r="K13" s="1" t="s">
        <v>228</v>
      </c>
      <c r="M13" t="s">
        <v>21</v>
      </c>
      <c r="N13" t="str">
        <f t="shared" si="1"/>
        <v>HIC</v>
      </c>
      <c r="O13">
        <f t="shared" si="2"/>
        <v>1</v>
      </c>
      <c r="P13">
        <f t="shared" si="0"/>
        <v>0</v>
      </c>
      <c r="Q13">
        <f t="shared" si="0"/>
        <v>0</v>
      </c>
    </row>
    <row r="14" spans="1:17" x14ac:dyDescent="0.25">
      <c r="A14" t="s">
        <v>21</v>
      </c>
      <c r="B14">
        <v>2020</v>
      </c>
      <c r="C14">
        <v>143.02325581395351</v>
      </c>
      <c r="D14">
        <v>16.829999999999998</v>
      </c>
      <c r="E14">
        <v>2</v>
      </c>
      <c r="F14" t="s">
        <v>459</v>
      </c>
      <c r="G14">
        <v>16.36</v>
      </c>
      <c r="I14" s="1" t="s">
        <v>240</v>
      </c>
      <c r="J14" s="1" t="s">
        <v>144</v>
      </c>
      <c r="K14" s="1" t="s">
        <v>228</v>
      </c>
      <c r="M14" t="s">
        <v>21</v>
      </c>
      <c r="N14" t="str">
        <f t="shared" si="1"/>
        <v>HIC</v>
      </c>
      <c r="O14">
        <f t="shared" si="2"/>
        <v>1</v>
      </c>
      <c r="P14">
        <f t="shared" si="0"/>
        <v>0</v>
      </c>
      <c r="Q14">
        <f t="shared" si="0"/>
        <v>0</v>
      </c>
    </row>
    <row r="15" spans="1:17" x14ac:dyDescent="0.25">
      <c r="A15" t="s">
        <v>21</v>
      </c>
      <c r="B15">
        <v>2021</v>
      </c>
      <c r="C15">
        <v>6.6985645933014357</v>
      </c>
      <c r="D15">
        <v>17.62</v>
      </c>
      <c r="E15">
        <v>2</v>
      </c>
      <c r="F15" t="s">
        <v>460</v>
      </c>
      <c r="G15">
        <v>14.58</v>
      </c>
      <c r="I15" s="1" t="s">
        <v>241</v>
      </c>
      <c r="J15" s="1" t="s">
        <v>35</v>
      </c>
      <c r="K15" s="1" t="s">
        <v>228</v>
      </c>
      <c r="M15" t="s">
        <v>21</v>
      </c>
      <c r="N15" t="str">
        <f t="shared" si="1"/>
        <v>HIC</v>
      </c>
      <c r="O15">
        <f t="shared" si="2"/>
        <v>1</v>
      </c>
      <c r="P15">
        <f t="shared" si="0"/>
        <v>0</v>
      </c>
      <c r="Q15">
        <f t="shared" si="0"/>
        <v>0</v>
      </c>
    </row>
    <row r="16" spans="1:17" x14ac:dyDescent="0.25">
      <c r="A16" t="s">
        <v>21</v>
      </c>
      <c r="B16">
        <v>2022</v>
      </c>
      <c r="C16">
        <v>8.9686098654708513</v>
      </c>
      <c r="D16">
        <v>20.68</v>
      </c>
      <c r="E16">
        <v>2</v>
      </c>
      <c r="F16" t="s">
        <v>461</v>
      </c>
      <c r="G16">
        <v>16.61</v>
      </c>
      <c r="I16" s="1" t="s">
        <v>242</v>
      </c>
      <c r="J16" s="1" t="s">
        <v>155</v>
      </c>
      <c r="K16" s="1" t="s">
        <v>228</v>
      </c>
      <c r="M16" t="s">
        <v>21</v>
      </c>
      <c r="N16" t="str">
        <f t="shared" si="1"/>
        <v>HIC</v>
      </c>
      <c r="O16">
        <f t="shared" si="2"/>
        <v>1</v>
      </c>
      <c r="P16">
        <f t="shared" si="0"/>
        <v>0</v>
      </c>
      <c r="Q16">
        <f t="shared" si="0"/>
        <v>0</v>
      </c>
    </row>
    <row r="17" spans="1:17" x14ac:dyDescent="0.25">
      <c r="A17" t="s">
        <v>21</v>
      </c>
      <c r="B17">
        <v>2023</v>
      </c>
      <c r="C17">
        <v>7.4074074074074066</v>
      </c>
      <c r="D17">
        <v>20.93</v>
      </c>
      <c r="E17">
        <v>2</v>
      </c>
      <c r="F17" t="s">
        <v>462</v>
      </c>
      <c r="G17">
        <v>16.14</v>
      </c>
      <c r="I17" s="1" t="s">
        <v>243</v>
      </c>
      <c r="J17" s="1" t="s">
        <v>163</v>
      </c>
      <c r="K17" s="1" t="s">
        <v>228</v>
      </c>
      <c r="M17" t="s">
        <v>21</v>
      </c>
      <c r="N17" t="str">
        <f t="shared" si="1"/>
        <v>HIC</v>
      </c>
      <c r="O17">
        <f t="shared" si="2"/>
        <v>1</v>
      </c>
      <c r="P17">
        <f t="shared" si="0"/>
        <v>0</v>
      </c>
      <c r="Q17">
        <f t="shared" si="0"/>
        <v>0</v>
      </c>
    </row>
    <row r="18" spans="1:17" x14ac:dyDescent="0.25">
      <c r="A18" t="s">
        <v>16</v>
      </c>
      <c r="B18">
        <v>2016</v>
      </c>
      <c r="C18">
        <v>-5.5170034456706363</v>
      </c>
      <c r="D18">
        <v>21.93</v>
      </c>
      <c r="E18">
        <v>3</v>
      </c>
      <c r="F18" t="s">
        <v>463</v>
      </c>
      <c r="G18">
        <v>34.19</v>
      </c>
      <c r="I18" s="1" t="s">
        <v>244</v>
      </c>
      <c r="J18" s="1" t="s">
        <v>175</v>
      </c>
      <c r="K18" s="1" t="s">
        <v>228</v>
      </c>
      <c r="M18" t="s">
        <v>16</v>
      </c>
      <c r="N18" t="str">
        <f t="shared" si="1"/>
        <v>LMIC</v>
      </c>
      <c r="O18">
        <f t="shared" si="2"/>
        <v>0</v>
      </c>
      <c r="P18">
        <f t="shared" si="2"/>
        <v>0</v>
      </c>
      <c r="Q18">
        <f t="shared" si="2"/>
        <v>1</v>
      </c>
    </row>
    <row r="19" spans="1:17" x14ac:dyDescent="0.25">
      <c r="A19" t="s">
        <v>16</v>
      </c>
      <c r="B19">
        <v>2017</v>
      </c>
      <c r="C19">
        <v>7.456898544025881</v>
      </c>
      <c r="D19">
        <v>27.37</v>
      </c>
      <c r="E19">
        <v>3</v>
      </c>
      <c r="F19" t="s">
        <v>464</v>
      </c>
      <c r="G19">
        <v>34.08</v>
      </c>
      <c r="I19" s="1" t="s">
        <v>245</v>
      </c>
      <c r="J19" s="1" t="s">
        <v>182</v>
      </c>
      <c r="K19" s="1" t="s">
        <v>228</v>
      </c>
      <c r="M19" t="s">
        <v>16</v>
      </c>
      <c r="N19" t="str">
        <f t="shared" si="1"/>
        <v>LMIC</v>
      </c>
      <c r="O19">
        <f t="shared" si="2"/>
        <v>0</v>
      </c>
      <c r="P19">
        <f t="shared" si="2"/>
        <v>0</v>
      </c>
      <c r="Q19">
        <f t="shared" si="2"/>
        <v>1</v>
      </c>
    </row>
    <row r="20" spans="1:17" x14ac:dyDescent="0.25">
      <c r="A20" t="s">
        <v>16</v>
      </c>
      <c r="B20">
        <v>2018</v>
      </c>
      <c r="C20">
        <v>13.215525436268456</v>
      </c>
      <c r="D20">
        <v>23.17</v>
      </c>
      <c r="E20">
        <v>3</v>
      </c>
      <c r="F20" t="s">
        <v>465</v>
      </c>
      <c r="G20">
        <v>33.96</v>
      </c>
      <c r="I20" s="1" t="s">
        <v>246</v>
      </c>
      <c r="J20" s="1" t="s">
        <v>187</v>
      </c>
      <c r="K20" s="1" t="s">
        <v>228</v>
      </c>
      <c r="M20" t="s">
        <v>16</v>
      </c>
      <c r="N20" t="str">
        <f t="shared" si="1"/>
        <v>LMIC</v>
      </c>
      <c r="O20">
        <f t="shared" si="2"/>
        <v>0</v>
      </c>
      <c r="P20">
        <f t="shared" si="2"/>
        <v>0</v>
      </c>
      <c r="Q20">
        <f t="shared" si="2"/>
        <v>1</v>
      </c>
    </row>
    <row r="21" spans="1:17" x14ac:dyDescent="0.25">
      <c r="A21" t="s">
        <v>16</v>
      </c>
      <c r="B21">
        <v>2019</v>
      </c>
      <c r="C21">
        <v>11.935669607382946</v>
      </c>
      <c r="D21">
        <v>18.09</v>
      </c>
      <c r="E21">
        <v>3</v>
      </c>
      <c r="F21" t="s">
        <v>466</v>
      </c>
      <c r="G21">
        <v>33.93</v>
      </c>
      <c r="I21" s="1" t="s">
        <v>247</v>
      </c>
      <c r="J21" s="1" t="s">
        <v>189</v>
      </c>
      <c r="K21" s="1" t="s">
        <v>228</v>
      </c>
      <c r="M21" t="s">
        <v>16</v>
      </c>
      <c r="N21" t="str">
        <f t="shared" si="1"/>
        <v>LMIC</v>
      </c>
      <c r="O21">
        <f t="shared" si="2"/>
        <v>0</v>
      </c>
      <c r="P21">
        <f t="shared" si="2"/>
        <v>0</v>
      </c>
      <c r="Q21">
        <f t="shared" si="2"/>
        <v>1</v>
      </c>
    </row>
    <row r="22" spans="1:17" x14ac:dyDescent="0.25">
      <c r="A22" t="s">
        <v>16</v>
      </c>
      <c r="B22">
        <v>2020</v>
      </c>
      <c r="C22">
        <v>-46.763916586776261</v>
      </c>
      <c r="D22">
        <v>14.15</v>
      </c>
      <c r="E22">
        <v>3</v>
      </c>
      <c r="F22" t="s">
        <v>467</v>
      </c>
      <c r="G22">
        <v>34.08</v>
      </c>
      <c r="I22" s="1" t="s">
        <v>248</v>
      </c>
      <c r="J22" s="1" t="s">
        <v>195</v>
      </c>
      <c r="K22" s="1" t="s">
        <v>228</v>
      </c>
      <c r="M22" t="s">
        <v>16</v>
      </c>
      <c r="N22" t="str">
        <f t="shared" si="1"/>
        <v>LMIC</v>
      </c>
      <c r="O22">
        <f t="shared" si="2"/>
        <v>0</v>
      </c>
      <c r="P22">
        <f t="shared" si="2"/>
        <v>0</v>
      </c>
      <c r="Q22">
        <f t="shared" si="2"/>
        <v>1</v>
      </c>
    </row>
    <row r="23" spans="1:17" x14ac:dyDescent="0.25">
      <c r="A23" t="s">
        <v>16</v>
      </c>
      <c r="B23">
        <v>2021</v>
      </c>
      <c r="C23">
        <v>-12.334056338279604</v>
      </c>
      <c r="D23">
        <v>17.43</v>
      </c>
      <c r="E23">
        <v>3</v>
      </c>
      <c r="F23" t="s">
        <v>468</v>
      </c>
      <c r="G23">
        <v>34.39</v>
      </c>
      <c r="I23" s="1" t="s">
        <v>249</v>
      </c>
      <c r="J23" s="1" t="s">
        <v>197</v>
      </c>
      <c r="K23" s="1" t="s">
        <v>228</v>
      </c>
      <c r="M23" t="s">
        <v>16</v>
      </c>
      <c r="N23" t="str">
        <f t="shared" si="1"/>
        <v>LMIC</v>
      </c>
      <c r="O23">
        <f t="shared" si="2"/>
        <v>0</v>
      </c>
      <c r="P23">
        <f t="shared" si="2"/>
        <v>0</v>
      </c>
      <c r="Q23">
        <f t="shared" si="2"/>
        <v>1</v>
      </c>
    </row>
    <row r="24" spans="1:17" x14ac:dyDescent="0.25">
      <c r="A24" t="s">
        <v>16</v>
      </c>
      <c r="B24">
        <v>2022</v>
      </c>
      <c r="C24">
        <v>10.909090909090908</v>
      </c>
      <c r="D24">
        <v>21.82</v>
      </c>
      <c r="E24">
        <v>3</v>
      </c>
      <c r="F24" t="s">
        <v>469</v>
      </c>
      <c r="G24">
        <v>33.619999999999997</v>
      </c>
      <c r="I24" s="1" t="s">
        <v>250</v>
      </c>
      <c r="J24" s="1" t="s">
        <v>199</v>
      </c>
      <c r="K24" s="1" t="s">
        <v>228</v>
      </c>
      <c r="M24" t="s">
        <v>16</v>
      </c>
      <c r="N24" t="str">
        <f t="shared" si="1"/>
        <v>LMIC</v>
      </c>
      <c r="O24">
        <f t="shared" si="2"/>
        <v>0</v>
      </c>
      <c r="P24">
        <f t="shared" si="2"/>
        <v>0</v>
      </c>
      <c r="Q24">
        <f t="shared" si="2"/>
        <v>1</v>
      </c>
    </row>
    <row r="25" spans="1:17" x14ac:dyDescent="0.25">
      <c r="A25" t="s">
        <v>16</v>
      </c>
      <c r="B25">
        <v>2023</v>
      </c>
      <c r="C25">
        <v>2.622950819672131</v>
      </c>
      <c r="D25">
        <v>22.48</v>
      </c>
      <c r="E25">
        <v>3</v>
      </c>
      <c r="F25" t="s">
        <v>470</v>
      </c>
      <c r="G25">
        <v>34.380000000000003</v>
      </c>
      <c r="I25" s="1" t="s">
        <v>251</v>
      </c>
      <c r="J25" s="1" t="s">
        <v>45</v>
      </c>
      <c r="K25" s="1" t="s">
        <v>228</v>
      </c>
      <c r="M25" t="s">
        <v>16</v>
      </c>
      <c r="N25" t="str">
        <f t="shared" si="1"/>
        <v>LMIC</v>
      </c>
      <c r="O25">
        <f t="shared" si="2"/>
        <v>0</v>
      </c>
      <c r="P25">
        <f t="shared" si="2"/>
        <v>0</v>
      </c>
      <c r="Q25">
        <f t="shared" si="2"/>
        <v>1</v>
      </c>
    </row>
    <row r="26" spans="1:17" x14ac:dyDescent="0.25">
      <c r="A26" t="s">
        <v>20</v>
      </c>
      <c r="B26">
        <v>2016</v>
      </c>
      <c r="C26">
        <v>6.9474589498778885</v>
      </c>
      <c r="D26">
        <v>23.81</v>
      </c>
      <c r="E26">
        <v>4</v>
      </c>
      <c r="F26" t="s">
        <v>471</v>
      </c>
      <c r="G26">
        <v>30.53</v>
      </c>
      <c r="I26" s="1" t="s">
        <v>252</v>
      </c>
      <c r="J26" s="1" t="s">
        <v>217</v>
      </c>
      <c r="K26" s="1" t="s">
        <v>228</v>
      </c>
      <c r="M26" t="s">
        <v>20</v>
      </c>
      <c r="N26" t="str">
        <f t="shared" si="1"/>
        <v>LMIC</v>
      </c>
      <c r="O26">
        <f t="shared" si="2"/>
        <v>0</v>
      </c>
      <c r="P26">
        <f t="shared" si="2"/>
        <v>0</v>
      </c>
      <c r="Q26">
        <f t="shared" si="2"/>
        <v>1</v>
      </c>
    </row>
    <row r="27" spans="1:17" x14ac:dyDescent="0.25">
      <c r="A27" t="s">
        <v>20</v>
      </c>
      <c r="B27">
        <v>2017</v>
      </c>
      <c r="C27">
        <v>5.8926624897778774</v>
      </c>
      <c r="D27">
        <v>20.97</v>
      </c>
      <c r="E27">
        <v>4</v>
      </c>
      <c r="F27" t="s">
        <v>472</v>
      </c>
      <c r="G27">
        <v>30.27</v>
      </c>
      <c r="I27" s="1" t="s">
        <v>253</v>
      </c>
      <c r="J27" s="1" t="s">
        <v>62</v>
      </c>
      <c r="K27" s="1" t="s">
        <v>254</v>
      </c>
      <c r="M27" t="s">
        <v>20</v>
      </c>
      <c r="N27" t="str">
        <f t="shared" si="1"/>
        <v>LMIC</v>
      </c>
      <c r="O27">
        <f t="shared" si="2"/>
        <v>0</v>
      </c>
      <c r="P27">
        <f t="shared" si="2"/>
        <v>0</v>
      </c>
      <c r="Q27">
        <f t="shared" si="2"/>
        <v>1</v>
      </c>
    </row>
    <row r="28" spans="1:17" x14ac:dyDescent="0.25">
      <c r="A28" t="s">
        <v>20</v>
      </c>
      <c r="B28">
        <v>2018</v>
      </c>
      <c r="C28">
        <v>3.0905090507336497</v>
      </c>
      <c r="D28">
        <v>19.77</v>
      </c>
      <c r="E28">
        <v>4</v>
      </c>
      <c r="F28" t="s">
        <v>473</v>
      </c>
      <c r="G28">
        <v>30.09</v>
      </c>
      <c r="I28" s="1" t="s">
        <v>255</v>
      </c>
      <c r="J28" s="1" t="s">
        <v>20</v>
      </c>
      <c r="K28" s="1" t="s">
        <v>254</v>
      </c>
      <c r="M28" t="s">
        <v>20</v>
      </c>
      <c r="N28" t="str">
        <f t="shared" si="1"/>
        <v>LMIC</v>
      </c>
      <c r="O28">
        <f t="shared" si="2"/>
        <v>0</v>
      </c>
      <c r="P28">
        <f t="shared" si="2"/>
        <v>0</v>
      </c>
      <c r="Q28">
        <f t="shared" si="2"/>
        <v>1</v>
      </c>
    </row>
    <row r="29" spans="1:17" x14ac:dyDescent="0.25">
      <c r="A29" t="s">
        <v>20</v>
      </c>
      <c r="B29">
        <v>2019</v>
      </c>
      <c r="C29">
        <v>3.4622093554979472</v>
      </c>
      <c r="D29">
        <v>24.32</v>
      </c>
      <c r="E29">
        <v>4</v>
      </c>
      <c r="F29" t="s">
        <v>474</v>
      </c>
      <c r="G29">
        <v>30.36</v>
      </c>
      <c r="I29" s="1" t="s">
        <v>256</v>
      </c>
      <c r="J29" s="1" t="s">
        <v>16</v>
      </c>
      <c r="K29" s="1" t="s">
        <v>254</v>
      </c>
      <c r="M29" t="s">
        <v>20</v>
      </c>
      <c r="N29" t="str">
        <f t="shared" si="1"/>
        <v>LMIC</v>
      </c>
      <c r="O29">
        <f t="shared" si="2"/>
        <v>0</v>
      </c>
      <c r="P29">
        <f t="shared" si="2"/>
        <v>0</v>
      </c>
      <c r="Q29">
        <f t="shared" si="2"/>
        <v>1</v>
      </c>
    </row>
    <row r="30" spans="1:17" x14ac:dyDescent="0.25">
      <c r="A30" t="s">
        <v>20</v>
      </c>
      <c r="B30">
        <v>2020</v>
      </c>
      <c r="C30">
        <v>3.8354226936676312</v>
      </c>
      <c r="D30">
        <v>24.9</v>
      </c>
      <c r="E30">
        <v>4</v>
      </c>
      <c r="F30" t="s">
        <v>475</v>
      </c>
      <c r="G30">
        <v>30.1</v>
      </c>
      <c r="I30" s="1" t="s">
        <v>257</v>
      </c>
      <c r="J30" s="1" t="s">
        <v>73</v>
      </c>
      <c r="K30" s="1" t="s">
        <v>254</v>
      </c>
      <c r="M30" t="s">
        <v>20</v>
      </c>
      <c r="N30" t="str">
        <f t="shared" si="1"/>
        <v>LMIC</v>
      </c>
      <c r="O30">
        <f t="shared" si="2"/>
        <v>0</v>
      </c>
      <c r="P30">
        <f t="shared" si="2"/>
        <v>0</v>
      </c>
      <c r="Q30">
        <f t="shared" si="2"/>
        <v>1</v>
      </c>
    </row>
    <row r="31" spans="1:17" x14ac:dyDescent="0.25">
      <c r="A31" t="s">
        <v>20</v>
      </c>
      <c r="B31">
        <v>2021</v>
      </c>
      <c r="C31">
        <v>2.1255247158176278</v>
      </c>
      <c r="D31">
        <v>55.37</v>
      </c>
      <c r="E31">
        <v>4</v>
      </c>
      <c r="F31" t="s">
        <v>476</v>
      </c>
      <c r="G31">
        <v>30.57</v>
      </c>
      <c r="I31" s="1" t="s">
        <v>258</v>
      </c>
      <c r="J31" s="1" t="s">
        <v>74</v>
      </c>
      <c r="K31" s="1" t="s">
        <v>254</v>
      </c>
      <c r="M31" t="s">
        <v>20</v>
      </c>
      <c r="N31" t="str">
        <f t="shared" si="1"/>
        <v>LMIC</v>
      </c>
      <c r="O31">
        <f t="shared" si="2"/>
        <v>0</v>
      </c>
      <c r="P31">
        <f t="shared" si="2"/>
        <v>0</v>
      </c>
      <c r="Q31">
        <f t="shared" si="2"/>
        <v>1</v>
      </c>
    </row>
    <row r="32" spans="1:17" x14ac:dyDescent="0.25">
      <c r="A32" t="s">
        <v>20</v>
      </c>
      <c r="B32">
        <v>2022</v>
      </c>
      <c r="C32">
        <v>3.500247235415479</v>
      </c>
      <c r="D32">
        <v>48.92</v>
      </c>
      <c r="E32">
        <v>4</v>
      </c>
      <c r="F32" t="s">
        <v>477</v>
      </c>
      <c r="G32">
        <v>30.45</v>
      </c>
      <c r="I32" s="1" t="s">
        <v>259</v>
      </c>
      <c r="J32" s="1" t="s">
        <v>83</v>
      </c>
      <c r="K32" s="1" t="s">
        <v>254</v>
      </c>
      <c r="M32" t="s">
        <v>20</v>
      </c>
      <c r="N32" t="str">
        <f t="shared" si="1"/>
        <v>LMIC</v>
      </c>
      <c r="O32">
        <f t="shared" si="2"/>
        <v>0</v>
      </c>
      <c r="P32">
        <f t="shared" si="2"/>
        <v>0</v>
      </c>
      <c r="Q32">
        <f t="shared" si="2"/>
        <v>1</v>
      </c>
    </row>
    <row r="33" spans="1:17" x14ac:dyDescent="0.25">
      <c r="A33" t="s">
        <v>20</v>
      </c>
      <c r="B33">
        <v>2023</v>
      </c>
      <c r="C33">
        <v>4.4300277899502953</v>
      </c>
      <c r="D33">
        <v>32.15</v>
      </c>
      <c r="E33">
        <v>4</v>
      </c>
      <c r="F33" t="s">
        <v>478</v>
      </c>
      <c r="G33">
        <v>30.81</v>
      </c>
      <c r="I33" s="1" t="s">
        <v>260</v>
      </c>
      <c r="J33" s="1" t="s">
        <v>84</v>
      </c>
      <c r="K33" s="1" t="s">
        <v>254</v>
      </c>
      <c r="M33" t="s">
        <v>20</v>
      </c>
      <c r="N33" t="str">
        <f t="shared" si="1"/>
        <v>LMIC</v>
      </c>
      <c r="O33">
        <f t="shared" si="2"/>
        <v>0</v>
      </c>
      <c r="P33">
        <f t="shared" si="2"/>
        <v>0</v>
      </c>
      <c r="Q33">
        <f t="shared" si="2"/>
        <v>1</v>
      </c>
    </row>
    <row r="34" spans="1:17" x14ac:dyDescent="0.25">
      <c r="A34" t="s">
        <v>11</v>
      </c>
      <c r="B34">
        <v>2016</v>
      </c>
      <c r="C34">
        <v>22.64946500344983</v>
      </c>
      <c r="D34">
        <v>17.13</v>
      </c>
      <c r="E34">
        <v>5</v>
      </c>
      <c r="F34" t="s">
        <v>479</v>
      </c>
      <c r="G34">
        <v>11.89</v>
      </c>
      <c r="I34" s="1" t="s">
        <v>261</v>
      </c>
      <c r="J34" s="1" t="s">
        <v>91</v>
      </c>
      <c r="K34" s="1" t="s">
        <v>254</v>
      </c>
      <c r="M34" t="s">
        <v>11</v>
      </c>
      <c r="N34" t="str">
        <f t="shared" si="1"/>
        <v>UMIC</v>
      </c>
      <c r="O34">
        <f t="shared" si="2"/>
        <v>0</v>
      </c>
      <c r="P34">
        <f t="shared" si="2"/>
        <v>1</v>
      </c>
      <c r="Q34">
        <f t="shared" si="2"/>
        <v>0</v>
      </c>
    </row>
    <row r="35" spans="1:17" x14ac:dyDescent="0.25">
      <c r="A35" t="s">
        <v>11</v>
      </c>
      <c r="B35">
        <v>2017</v>
      </c>
      <c r="C35">
        <v>-7.5497812304670067</v>
      </c>
      <c r="D35">
        <v>20.12</v>
      </c>
      <c r="E35">
        <v>5</v>
      </c>
      <c r="F35" t="s">
        <v>480</v>
      </c>
      <c r="G35">
        <v>11.68</v>
      </c>
      <c r="I35" s="1" t="s">
        <v>262</v>
      </c>
      <c r="J35" s="1" t="s">
        <v>93</v>
      </c>
      <c r="K35" s="1" t="s">
        <v>254</v>
      </c>
      <c r="M35" t="s">
        <v>11</v>
      </c>
      <c r="N35" t="str">
        <f t="shared" si="1"/>
        <v>UMIC</v>
      </c>
      <c r="O35">
        <f t="shared" si="2"/>
        <v>0</v>
      </c>
      <c r="P35">
        <f t="shared" si="2"/>
        <v>1</v>
      </c>
      <c r="Q35">
        <f t="shared" si="2"/>
        <v>0</v>
      </c>
    </row>
    <row r="36" spans="1:17" x14ac:dyDescent="0.25">
      <c r="A36" t="s">
        <v>11</v>
      </c>
      <c r="B36">
        <v>2018</v>
      </c>
      <c r="C36">
        <v>11.854928285120971</v>
      </c>
      <c r="D36">
        <v>19.09</v>
      </c>
      <c r="E36">
        <v>5</v>
      </c>
      <c r="F36" t="s">
        <v>481</v>
      </c>
      <c r="G36">
        <v>12.37</v>
      </c>
      <c r="I36" s="1" t="s">
        <v>263</v>
      </c>
      <c r="J36" s="1" t="s">
        <v>95</v>
      </c>
      <c r="K36" s="1" t="s">
        <v>254</v>
      </c>
      <c r="M36" t="s">
        <v>11</v>
      </c>
      <c r="N36" t="str">
        <f t="shared" si="1"/>
        <v>UMIC</v>
      </c>
      <c r="O36">
        <f t="shared" si="2"/>
        <v>0</v>
      </c>
      <c r="P36">
        <f t="shared" si="2"/>
        <v>1</v>
      </c>
      <c r="Q36">
        <f t="shared" si="2"/>
        <v>0</v>
      </c>
    </row>
    <row r="37" spans="1:17" x14ac:dyDescent="0.25">
      <c r="A37" t="s">
        <v>11</v>
      </c>
      <c r="B37">
        <v>2019</v>
      </c>
      <c r="C37">
        <v>-17.185192860658489</v>
      </c>
      <c r="D37">
        <v>22.64</v>
      </c>
      <c r="E37">
        <v>5</v>
      </c>
      <c r="F37" t="s">
        <v>482</v>
      </c>
      <c r="G37">
        <v>13.21</v>
      </c>
      <c r="I37" s="1" t="s">
        <v>264</v>
      </c>
      <c r="J37" s="1" t="s">
        <v>98</v>
      </c>
      <c r="K37" s="1" t="s">
        <v>254</v>
      </c>
      <c r="M37" t="s">
        <v>11</v>
      </c>
      <c r="N37" t="str">
        <f t="shared" si="1"/>
        <v>UMIC</v>
      </c>
      <c r="O37">
        <f t="shared" si="2"/>
        <v>0</v>
      </c>
      <c r="P37">
        <f t="shared" si="2"/>
        <v>1</v>
      </c>
      <c r="Q37">
        <f t="shared" si="2"/>
        <v>0</v>
      </c>
    </row>
    <row r="38" spans="1:17" x14ac:dyDescent="0.25">
      <c r="A38" t="s">
        <v>11</v>
      </c>
      <c r="B38">
        <v>2020</v>
      </c>
      <c r="C38">
        <v>-3.3821306056909375</v>
      </c>
      <c r="D38">
        <v>25.93</v>
      </c>
      <c r="E38">
        <v>5</v>
      </c>
      <c r="F38" t="s">
        <v>483</v>
      </c>
      <c r="G38">
        <v>13.34</v>
      </c>
      <c r="I38" s="1" t="s">
        <v>265</v>
      </c>
      <c r="J38" s="1" t="s">
        <v>40</v>
      </c>
      <c r="K38" s="1" t="s">
        <v>254</v>
      </c>
      <c r="M38" t="s">
        <v>11</v>
      </c>
      <c r="N38" t="str">
        <f t="shared" si="1"/>
        <v>UMIC</v>
      </c>
      <c r="O38">
        <f t="shared" si="2"/>
        <v>0</v>
      </c>
      <c r="P38">
        <f t="shared" si="2"/>
        <v>1</v>
      </c>
      <c r="Q38">
        <f t="shared" si="2"/>
        <v>0</v>
      </c>
    </row>
    <row r="39" spans="1:17" x14ac:dyDescent="0.25">
      <c r="A39" t="s">
        <v>11</v>
      </c>
      <c r="B39">
        <v>2021</v>
      </c>
      <c r="C39">
        <v>-8.2171690410335074</v>
      </c>
      <c r="D39">
        <v>19.7</v>
      </c>
      <c r="E39">
        <v>5</v>
      </c>
      <c r="F39" t="s">
        <v>484</v>
      </c>
      <c r="G39">
        <v>11.66</v>
      </c>
      <c r="I39" s="1" t="s">
        <v>266</v>
      </c>
      <c r="J39" s="1" t="s">
        <v>105</v>
      </c>
      <c r="K39" s="1" t="s">
        <v>254</v>
      </c>
      <c r="M39" t="s">
        <v>11</v>
      </c>
      <c r="N39" t="str">
        <f t="shared" si="1"/>
        <v>UMIC</v>
      </c>
      <c r="O39">
        <f t="shared" si="2"/>
        <v>0</v>
      </c>
      <c r="P39">
        <f t="shared" si="2"/>
        <v>1</v>
      </c>
      <c r="Q39">
        <f t="shared" si="2"/>
        <v>0</v>
      </c>
    </row>
    <row r="40" spans="1:17" x14ac:dyDescent="0.25">
      <c r="A40" t="s">
        <v>11</v>
      </c>
      <c r="B40">
        <v>2022</v>
      </c>
      <c r="C40">
        <v>-15.761502192853532</v>
      </c>
      <c r="D40">
        <v>16.77</v>
      </c>
      <c r="E40">
        <v>5</v>
      </c>
      <c r="F40" t="s">
        <v>485</v>
      </c>
      <c r="G40">
        <v>12.26</v>
      </c>
      <c r="I40" s="1" t="s">
        <v>267</v>
      </c>
      <c r="J40" s="1" t="s">
        <v>112</v>
      </c>
      <c r="K40" s="1" t="s">
        <v>254</v>
      </c>
      <c r="M40" t="s">
        <v>11</v>
      </c>
      <c r="N40" t="str">
        <f t="shared" si="1"/>
        <v>UMIC</v>
      </c>
      <c r="O40">
        <f t="shared" si="2"/>
        <v>0</v>
      </c>
      <c r="P40">
        <f t="shared" si="2"/>
        <v>1</v>
      </c>
      <c r="Q40">
        <f t="shared" si="2"/>
        <v>0</v>
      </c>
    </row>
    <row r="41" spans="1:17" x14ac:dyDescent="0.25">
      <c r="A41" t="s">
        <v>11</v>
      </c>
      <c r="B41">
        <v>2023</v>
      </c>
      <c r="C41">
        <v>3.8286527832058539</v>
      </c>
      <c r="D41">
        <v>20.420000000000002</v>
      </c>
      <c r="E41">
        <v>5</v>
      </c>
      <c r="F41" t="s">
        <v>486</v>
      </c>
      <c r="G41">
        <v>13.15</v>
      </c>
      <c r="I41" s="1" t="s">
        <v>268</v>
      </c>
      <c r="J41" s="1" t="s">
        <v>119</v>
      </c>
      <c r="K41" s="1" t="s">
        <v>254</v>
      </c>
      <c r="M41" t="s">
        <v>11</v>
      </c>
      <c r="N41" t="str">
        <f t="shared" si="1"/>
        <v>UMIC</v>
      </c>
      <c r="O41">
        <f t="shared" si="2"/>
        <v>0</v>
      </c>
      <c r="P41">
        <f t="shared" si="2"/>
        <v>1</v>
      </c>
      <c r="Q41">
        <f t="shared" si="2"/>
        <v>0</v>
      </c>
    </row>
    <row r="42" spans="1:17" x14ac:dyDescent="0.25">
      <c r="A42" t="s">
        <v>10</v>
      </c>
      <c r="B42">
        <v>2016</v>
      </c>
      <c r="C42">
        <v>1.3140322360295287</v>
      </c>
      <c r="D42">
        <v>17.079999999999998</v>
      </c>
      <c r="E42">
        <v>6</v>
      </c>
      <c r="F42" t="s">
        <v>487</v>
      </c>
      <c r="G42">
        <v>12.34</v>
      </c>
      <c r="I42" s="1" t="s">
        <v>269</v>
      </c>
      <c r="J42" s="1" t="s">
        <v>122</v>
      </c>
      <c r="K42" s="1" t="s">
        <v>254</v>
      </c>
      <c r="M42" t="s">
        <v>10</v>
      </c>
      <c r="N42" t="str">
        <f t="shared" si="1"/>
        <v>HIC</v>
      </c>
      <c r="O42">
        <f t="shared" si="2"/>
        <v>1</v>
      </c>
      <c r="P42">
        <f t="shared" si="2"/>
        <v>0</v>
      </c>
      <c r="Q42">
        <f t="shared" si="2"/>
        <v>0</v>
      </c>
    </row>
    <row r="43" spans="1:17" x14ac:dyDescent="0.25">
      <c r="A43" t="s">
        <v>10</v>
      </c>
      <c r="B43">
        <v>2017</v>
      </c>
      <c r="C43">
        <v>3.1950024767461063</v>
      </c>
      <c r="D43">
        <v>16.309999999999999</v>
      </c>
      <c r="E43">
        <v>6</v>
      </c>
      <c r="F43" t="s">
        <v>488</v>
      </c>
      <c r="G43">
        <v>12.12</v>
      </c>
      <c r="I43" s="1" t="s">
        <v>270</v>
      </c>
      <c r="J43" s="1" t="s">
        <v>123</v>
      </c>
      <c r="K43" s="1" t="s">
        <v>254</v>
      </c>
      <c r="M43" t="s">
        <v>10</v>
      </c>
      <c r="N43" t="str">
        <f t="shared" si="1"/>
        <v>HIC</v>
      </c>
      <c r="O43">
        <f t="shared" si="2"/>
        <v>1</v>
      </c>
      <c r="P43">
        <f t="shared" si="2"/>
        <v>0</v>
      </c>
      <c r="Q43">
        <f t="shared" si="2"/>
        <v>0</v>
      </c>
    </row>
    <row r="44" spans="1:17" x14ac:dyDescent="0.25">
      <c r="A44" t="s">
        <v>10</v>
      </c>
      <c r="B44">
        <v>2018</v>
      </c>
      <c r="C44">
        <v>-2.7894077175391345</v>
      </c>
      <c r="D44">
        <v>15.63</v>
      </c>
      <c r="E44">
        <v>6</v>
      </c>
      <c r="F44" t="s">
        <v>489</v>
      </c>
      <c r="G44">
        <v>13.16</v>
      </c>
      <c r="I44" s="1" t="s">
        <v>271</v>
      </c>
      <c r="J44" s="1" t="s">
        <v>124</v>
      </c>
      <c r="K44" s="1" t="s">
        <v>254</v>
      </c>
      <c r="M44" t="s">
        <v>10</v>
      </c>
      <c r="N44" t="str">
        <f t="shared" si="1"/>
        <v>HIC</v>
      </c>
      <c r="O44">
        <f t="shared" si="2"/>
        <v>1</v>
      </c>
      <c r="P44">
        <f t="shared" si="2"/>
        <v>0</v>
      </c>
      <c r="Q44">
        <f t="shared" si="2"/>
        <v>0</v>
      </c>
    </row>
    <row r="45" spans="1:17" x14ac:dyDescent="0.25">
      <c r="A45" t="s">
        <v>10</v>
      </c>
      <c r="B45">
        <v>2019</v>
      </c>
      <c r="C45">
        <v>10.336488080542065</v>
      </c>
      <c r="D45">
        <v>15.38</v>
      </c>
      <c r="E45">
        <v>6</v>
      </c>
      <c r="F45" t="s">
        <v>490</v>
      </c>
      <c r="G45">
        <v>12.96</v>
      </c>
      <c r="I45" s="1" t="s">
        <v>272</v>
      </c>
      <c r="J45" s="1" t="s">
        <v>34</v>
      </c>
      <c r="K45" s="1" t="s">
        <v>254</v>
      </c>
      <c r="M45" t="s">
        <v>10</v>
      </c>
      <c r="N45" t="str">
        <f t="shared" si="1"/>
        <v>HIC</v>
      </c>
      <c r="O45">
        <f t="shared" si="2"/>
        <v>1</v>
      </c>
      <c r="P45">
        <f t="shared" si="2"/>
        <v>0</v>
      </c>
      <c r="Q45">
        <f t="shared" si="2"/>
        <v>0</v>
      </c>
    </row>
    <row r="46" spans="1:17" x14ac:dyDescent="0.25">
      <c r="A46" t="s">
        <v>10</v>
      </c>
      <c r="B46">
        <v>2020</v>
      </c>
      <c r="C46">
        <v>5.9870276592105229</v>
      </c>
      <c r="D46">
        <v>14.32</v>
      </c>
      <c r="E46">
        <v>6</v>
      </c>
      <c r="F46" t="s">
        <v>491</v>
      </c>
      <c r="G46">
        <v>13.48</v>
      </c>
      <c r="I46" s="1" t="s">
        <v>273</v>
      </c>
      <c r="J46" s="1" t="s">
        <v>131</v>
      </c>
      <c r="K46" s="1" t="s">
        <v>254</v>
      </c>
      <c r="M46" t="s">
        <v>10</v>
      </c>
      <c r="N46" t="str">
        <f t="shared" si="1"/>
        <v>HIC</v>
      </c>
      <c r="O46">
        <f t="shared" si="2"/>
        <v>1</v>
      </c>
      <c r="P46">
        <f t="shared" si="2"/>
        <v>0</v>
      </c>
      <c r="Q46">
        <f t="shared" si="2"/>
        <v>0</v>
      </c>
    </row>
    <row r="47" spans="1:17" x14ac:dyDescent="0.25">
      <c r="A47" t="s">
        <v>10</v>
      </c>
      <c r="B47">
        <v>2021</v>
      </c>
      <c r="C47">
        <v>-4.7732764080790142</v>
      </c>
      <c r="D47">
        <v>14.44</v>
      </c>
      <c r="E47">
        <v>6</v>
      </c>
      <c r="F47" t="s">
        <v>492</v>
      </c>
      <c r="G47">
        <v>12.21</v>
      </c>
      <c r="I47" s="1" t="s">
        <v>274</v>
      </c>
      <c r="J47" s="1" t="s">
        <v>132</v>
      </c>
      <c r="K47" s="1" t="s">
        <v>254</v>
      </c>
      <c r="M47" t="s">
        <v>10</v>
      </c>
      <c r="N47" t="str">
        <f t="shared" si="1"/>
        <v>HIC</v>
      </c>
      <c r="O47">
        <f t="shared" si="2"/>
        <v>1</v>
      </c>
      <c r="P47">
        <f t="shared" si="2"/>
        <v>0</v>
      </c>
      <c r="Q47">
        <f t="shared" si="2"/>
        <v>0</v>
      </c>
    </row>
    <row r="48" spans="1:17" x14ac:dyDescent="0.25">
      <c r="A48" t="s">
        <v>10</v>
      </c>
      <c r="B48">
        <v>2022</v>
      </c>
      <c r="C48">
        <v>-6.5822211054781228</v>
      </c>
      <c r="D48">
        <v>15.13</v>
      </c>
      <c r="E48">
        <v>6</v>
      </c>
      <c r="F48" t="s">
        <v>493</v>
      </c>
      <c r="G48">
        <v>13.19</v>
      </c>
      <c r="I48" s="1" t="s">
        <v>275</v>
      </c>
      <c r="J48" s="1" t="s">
        <v>135</v>
      </c>
      <c r="K48" s="1" t="s">
        <v>254</v>
      </c>
      <c r="M48" t="s">
        <v>10</v>
      </c>
      <c r="N48" t="str">
        <f t="shared" si="1"/>
        <v>HIC</v>
      </c>
      <c r="O48">
        <f t="shared" si="2"/>
        <v>1</v>
      </c>
      <c r="P48">
        <f t="shared" si="2"/>
        <v>0</v>
      </c>
      <c r="Q48">
        <f t="shared" si="2"/>
        <v>0</v>
      </c>
    </row>
    <row r="49" spans="1:17" x14ac:dyDescent="0.25">
      <c r="A49" t="s">
        <v>10</v>
      </c>
      <c r="B49">
        <v>2023</v>
      </c>
      <c r="C49">
        <v>-12.622685392725094</v>
      </c>
      <c r="D49">
        <v>16.14</v>
      </c>
      <c r="E49">
        <v>6</v>
      </c>
      <c r="F49" t="s">
        <v>494</v>
      </c>
      <c r="G49">
        <v>12.83</v>
      </c>
      <c r="I49" s="1" t="s">
        <v>276</v>
      </c>
      <c r="J49" s="1" t="s">
        <v>50</v>
      </c>
      <c r="K49" s="1" t="s">
        <v>254</v>
      </c>
      <c r="M49" t="s">
        <v>10</v>
      </c>
      <c r="N49" t="str">
        <f t="shared" si="1"/>
        <v>HIC</v>
      </c>
      <c r="O49">
        <f t="shared" si="2"/>
        <v>1</v>
      </c>
      <c r="P49">
        <f t="shared" si="2"/>
        <v>0</v>
      </c>
      <c r="Q49">
        <f t="shared" si="2"/>
        <v>0</v>
      </c>
    </row>
    <row r="50" spans="1:17" x14ac:dyDescent="0.25">
      <c r="A50" t="s">
        <v>24</v>
      </c>
      <c r="B50">
        <v>2016</v>
      </c>
      <c r="C50">
        <v>-2.0737316561850636</v>
      </c>
      <c r="D50">
        <v>27.74</v>
      </c>
      <c r="E50">
        <v>7</v>
      </c>
      <c r="F50" t="s">
        <v>495</v>
      </c>
      <c r="G50">
        <v>20.11</v>
      </c>
      <c r="I50" s="1" t="s">
        <v>277</v>
      </c>
      <c r="J50" s="1" t="s">
        <v>136</v>
      </c>
      <c r="K50" s="1" t="s">
        <v>254</v>
      </c>
      <c r="M50" t="s">
        <v>24</v>
      </c>
      <c r="N50" t="str">
        <f t="shared" si="1"/>
        <v>HIC</v>
      </c>
      <c r="O50">
        <f t="shared" si="2"/>
        <v>1</v>
      </c>
      <c r="P50">
        <f t="shared" si="2"/>
        <v>0</v>
      </c>
      <c r="Q50">
        <f t="shared" si="2"/>
        <v>0</v>
      </c>
    </row>
    <row r="51" spans="1:17" x14ac:dyDescent="0.25">
      <c r="A51" t="s">
        <v>24</v>
      </c>
      <c r="B51">
        <v>2017</v>
      </c>
      <c r="C51">
        <v>9.6210342860688627</v>
      </c>
      <c r="D51">
        <v>27.11</v>
      </c>
      <c r="E51">
        <v>7</v>
      </c>
      <c r="F51" t="s">
        <v>496</v>
      </c>
      <c r="G51">
        <v>20.86</v>
      </c>
      <c r="I51" s="1" t="s">
        <v>278</v>
      </c>
      <c r="J51" s="1" t="s">
        <v>137</v>
      </c>
      <c r="K51" s="1" t="s">
        <v>254</v>
      </c>
      <c r="M51" t="s">
        <v>24</v>
      </c>
      <c r="N51" t="str">
        <f t="shared" si="1"/>
        <v>HIC</v>
      </c>
      <c r="O51">
        <f t="shared" si="2"/>
        <v>1</v>
      </c>
      <c r="P51">
        <f t="shared" si="2"/>
        <v>0</v>
      </c>
      <c r="Q51">
        <f t="shared" si="2"/>
        <v>0</v>
      </c>
    </row>
    <row r="52" spans="1:17" x14ac:dyDescent="0.25">
      <c r="A52" t="s">
        <v>24</v>
      </c>
      <c r="B52">
        <v>2018</v>
      </c>
      <c r="C52">
        <v>12.299173445448616</v>
      </c>
      <c r="D52">
        <v>26.66</v>
      </c>
      <c r="E52">
        <v>7</v>
      </c>
      <c r="F52" t="s">
        <v>497</v>
      </c>
      <c r="G52">
        <v>19.61</v>
      </c>
      <c r="I52" s="1" t="s">
        <v>279</v>
      </c>
      <c r="J52" s="1" t="s">
        <v>147</v>
      </c>
      <c r="K52" s="1" t="s">
        <v>254</v>
      </c>
      <c r="M52" t="s">
        <v>24</v>
      </c>
      <c r="N52" t="str">
        <f t="shared" si="1"/>
        <v>HIC</v>
      </c>
      <c r="O52">
        <f t="shared" si="2"/>
        <v>1</v>
      </c>
      <c r="P52">
        <f t="shared" si="2"/>
        <v>0</v>
      </c>
      <c r="Q52">
        <f t="shared" si="2"/>
        <v>0</v>
      </c>
    </row>
    <row r="53" spans="1:17" x14ac:dyDescent="0.25">
      <c r="A53" t="s">
        <v>24</v>
      </c>
      <c r="B53">
        <v>2019</v>
      </c>
      <c r="C53">
        <v>-12.95870300735786</v>
      </c>
      <c r="D53">
        <v>25.46</v>
      </c>
      <c r="E53">
        <v>7</v>
      </c>
      <c r="F53" t="s">
        <v>498</v>
      </c>
      <c r="G53">
        <v>20.39</v>
      </c>
      <c r="I53" s="1" t="s">
        <v>280</v>
      </c>
      <c r="J53" s="1" t="s">
        <v>150</v>
      </c>
      <c r="K53" s="1" t="s">
        <v>254</v>
      </c>
      <c r="M53" t="s">
        <v>24</v>
      </c>
      <c r="N53" t="str">
        <f t="shared" si="1"/>
        <v>HIC</v>
      </c>
      <c r="O53">
        <f t="shared" si="2"/>
        <v>1</v>
      </c>
      <c r="P53">
        <f t="shared" si="2"/>
        <v>0</v>
      </c>
      <c r="Q53">
        <f t="shared" si="2"/>
        <v>0</v>
      </c>
    </row>
    <row r="54" spans="1:17" x14ac:dyDescent="0.25">
      <c r="A54" t="s">
        <v>24</v>
      </c>
      <c r="B54">
        <v>2020</v>
      </c>
      <c r="C54">
        <v>-11.172159866501218</v>
      </c>
      <c r="D54">
        <v>20.27</v>
      </c>
      <c r="E54">
        <v>7</v>
      </c>
      <c r="F54" t="s">
        <v>499</v>
      </c>
      <c r="G54">
        <v>20.48</v>
      </c>
      <c r="I54" s="1" t="s">
        <v>281</v>
      </c>
      <c r="J54" s="1" t="s">
        <v>154</v>
      </c>
      <c r="K54" s="1" t="s">
        <v>254</v>
      </c>
      <c r="M54" t="s">
        <v>24</v>
      </c>
      <c r="N54" t="str">
        <f t="shared" si="1"/>
        <v>HIC</v>
      </c>
      <c r="O54">
        <f t="shared" si="2"/>
        <v>1</v>
      </c>
      <c r="P54">
        <f t="shared" si="2"/>
        <v>0</v>
      </c>
      <c r="Q54">
        <f t="shared" si="2"/>
        <v>0</v>
      </c>
    </row>
    <row r="55" spans="1:17" x14ac:dyDescent="0.25">
      <c r="A55" t="s">
        <v>24</v>
      </c>
      <c r="B55">
        <v>2021</v>
      </c>
      <c r="C55">
        <v>1.1987851294608418</v>
      </c>
      <c r="D55">
        <v>20.58</v>
      </c>
      <c r="E55">
        <v>7</v>
      </c>
      <c r="F55" t="s">
        <v>500</v>
      </c>
      <c r="G55">
        <v>20.14</v>
      </c>
      <c r="I55" s="1" t="s">
        <v>282</v>
      </c>
      <c r="J55" s="1" t="s">
        <v>156</v>
      </c>
      <c r="K55" s="1" t="s">
        <v>254</v>
      </c>
      <c r="M55" t="s">
        <v>24</v>
      </c>
      <c r="N55" t="str">
        <f t="shared" si="1"/>
        <v>HIC</v>
      </c>
      <c r="O55">
        <f t="shared" si="2"/>
        <v>1</v>
      </c>
      <c r="P55">
        <f t="shared" si="2"/>
        <v>0</v>
      </c>
      <c r="Q55">
        <f t="shared" si="2"/>
        <v>0</v>
      </c>
    </row>
    <row r="56" spans="1:17" x14ac:dyDescent="0.25">
      <c r="A56" t="s">
        <v>24</v>
      </c>
      <c r="B56">
        <v>2022</v>
      </c>
      <c r="C56">
        <v>-1.3871954556129873</v>
      </c>
      <c r="D56">
        <v>23.95</v>
      </c>
      <c r="E56">
        <v>7</v>
      </c>
      <c r="F56" t="s">
        <v>501</v>
      </c>
      <c r="G56">
        <v>21.04</v>
      </c>
      <c r="I56" s="1" t="s">
        <v>283</v>
      </c>
      <c r="J56" s="1" t="s">
        <v>157</v>
      </c>
      <c r="K56" s="1" t="s">
        <v>254</v>
      </c>
      <c r="M56" t="s">
        <v>24</v>
      </c>
      <c r="N56" t="str">
        <f t="shared" si="1"/>
        <v>HIC</v>
      </c>
      <c r="O56">
        <f t="shared" si="2"/>
        <v>1</v>
      </c>
      <c r="P56">
        <f t="shared" si="2"/>
        <v>0</v>
      </c>
      <c r="Q56">
        <f t="shared" si="2"/>
        <v>0</v>
      </c>
    </row>
    <row r="57" spans="1:17" x14ac:dyDescent="0.25">
      <c r="A57" t="s">
        <v>24</v>
      </c>
      <c r="B57">
        <v>2023</v>
      </c>
      <c r="C57">
        <v>-10.970363272176352</v>
      </c>
      <c r="D57">
        <v>25.39</v>
      </c>
      <c r="E57">
        <v>7</v>
      </c>
      <c r="F57" t="s">
        <v>502</v>
      </c>
      <c r="G57">
        <v>21.17</v>
      </c>
      <c r="I57" s="1" t="s">
        <v>284</v>
      </c>
      <c r="J57" s="1" t="s">
        <v>27</v>
      </c>
      <c r="K57" s="1" t="s">
        <v>254</v>
      </c>
      <c r="M57" t="s">
        <v>24</v>
      </c>
      <c r="N57" t="str">
        <f t="shared" si="1"/>
        <v>HIC</v>
      </c>
      <c r="O57">
        <f t="shared" si="2"/>
        <v>1</v>
      </c>
      <c r="P57">
        <f t="shared" si="2"/>
        <v>0</v>
      </c>
      <c r="Q57">
        <f t="shared" si="2"/>
        <v>0</v>
      </c>
    </row>
    <row r="58" spans="1:17" x14ac:dyDescent="0.25">
      <c r="A58" t="s">
        <v>1</v>
      </c>
      <c r="B58">
        <v>2016</v>
      </c>
      <c r="C58">
        <v>8.6431701514961681</v>
      </c>
      <c r="D58">
        <v>11.71</v>
      </c>
      <c r="E58">
        <v>8</v>
      </c>
      <c r="F58" t="s">
        <v>503</v>
      </c>
      <c r="G58">
        <v>9.9499999999999904</v>
      </c>
      <c r="I58" s="1" t="s">
        <v>285</v>
      </c>
      <c r="J58" s="1" t="s">
        <v>162</v>
      </c>
      <c r="K58" s="1" t="s">
        <v>254</v>
      </c>
      <c r="M58" t="s">
        <v>1</v>
      </c>
      <c r="N58" t="str">
        <f t="shared" si="1"/>
        <v>HIC</v>
      </c>
      <c r="O58">
        <f t="shared" si="2"/>
        <v>1</v>
      </c>
      <c r="P58">
        <f t="shared" si="2"/>
        <v>0</v>
      </c>
      <c r="Q58">
        <f t="shared" si="2"/>
        <v>0</v>
      </c>
    </row>
    <row r="59" spans="1:17" x14ac:dyDescent="0.25">
      <c r="A59" t="s">
        <v>1</v>
      </c>
      <c r="B59">
        <v>2017</v>
      </c>
      <c r="C59">
        <v>0.31438241947696649</v>
      </c>
      <c r="D59">
        <v>11.82</v>
      </c>
      <c r="E59">
        <v>8</v>
      </c>
      <c r="F59" t="s">
        <v>504</v>
      </c>
      <c r="G59">
        <v>9.57</v>
      </c>
      <c r="I59" s="1" t="s">
        <v>286</v>
      </c>
      <c r="J59" s="1" t="s">
        <v>164</v>
      </c>
      <c r="K59" s="1" t="s">
        <v>254</v>
      </c>
      <c r="M59" t="s">
        <v>1</v>
      </c>
      <c r="N59" t="str">
        <f t="shared" si="1"/>
        <v>HIC</v>
      </c>
      <c r="O59">
        <f t="shared" si="2"/>
        <v>1</v>
      </c>
      <c r="P59">
        <f t="shared" si="2"/>
        <v>0</v>
      </c>
      <c r="Q59">
        <f t="shared" si="2"/>
        <v>0</v>
      </c>
    </row>
    <row r="60" spans="1:17" x14ac:dyDescent="0.25">
      <c r="A60" t="s">
        <v>1</v>
      </c>
      <c r="B60">
        <v>2018</v>
      </c>
      <c r="C60">
        <v>8.4093371213644179</v>
      </c>
      <c r="D60">
        <v>11.94</v>
      </c>
      <c r="E60">
        <v>8</v>
      </c>
      <c r="F60" t="s">
        <v>505</v>
      </c>
      <c r="G60">
        <v>10.78</v>
      </c>
      <c r="I60" s="1" t="s">
        <v>287</v>
      </c>
      <c r="J60" s="1" t="s">
        <v>167</v>
      </c>
      <c r="K60" s="1" t="s">
        <v>254</v>
      </c>
      <c r="M60" t="s">
        <v>1</v>
      </c>
      <c r="N60" t="str">
        <f t="shared" si="1"/>
        <v>HIC</v>
      </c>
      <c r="O60">
        <f t="shared" si="2"/>
        <v>1</v>
      </c>
      <c r="P60">
        <f t="shared" si="2"/>
        <v>0</v>
      </c>
      <c r="Q60">
        <f t="shared" si="2"/>
        <v>0</v>
      </c>
    </row>
    <row r="61" spans="1:17" x14ac:dyDescent="0.25">
      <c r="A61" t="s">
        <v>1</v>
      </c>
      <c r="B61">
        <v>2019</v>
      </c>
      <c r="C61">
        <v>12.537341269799226</v>
      </c>
      <c r="D61">
        <v>11.96</v>
      </c>
      <c r="E61">
        <v>8</v>
      </c>
      <c r="F61" t="s">
        <v>506</v>
      </c>
      <c r="G61">
        <v>11.03</v>
      </c>
      <c r="I61" s="1" t="s">
        <v>288</v>
      </c>
      <c r="J61" s="1" t="s">
        <v>170</v>
      </c>
      <c r="K61" s="1" t="s">
        <v>254</v>
      </c>
      <c r="M61" t="s">
        <v>1</v>
      </c>
      <c r="N61" t="str">
        <f t="shared" si="1"/>
        <v>HIC</v>
      </c>
      <c r="O61">
        <f t="shared" si="2"/>
        <v>1</v>
      </c>
      <c r="P61">
        <f t="shared" si="2"/>
        <v>0</v>
      </c>
      <c r="Q61">
        <f t="shared" si="2"/>
        <v>0</v>
      </c>
    </row>
    <row r="62" spans="1:17" x14ac:dyDescent="0.25">
      <c r="A62" t="s">
        <v>1</v>
      </c>
      <c r="B62">
        <v>2020</v>
      </c>
      <c r="C62">
        <v>2.6534622885182446</v>
      </c>
      <c r="D62">
        <v>10.64</v>
      </c>
      <c r="E62">
        <v>8</v>
      </c>
      <c r="F62" t="s">
        <v>507</v>
      </c>
      <c r="G62">
        <v>11.63</v>
      </c>
      <c r="I62" s="1" t="s">
        <v>289</v>
      </c>
      <c r="J62" s="1" t="s">
        <v>172</v>
      </c>
      <c r="K62" s="1" t="s">
        <v>254</v>
      </c>
      <c r="M62" t="s">
        <v>1</v>
      </c>
      <c r="N62" t="str">
        <f t="shared" si="1"/>
        <v>HIC</v>
      </c>
      <c r="O62">
        <f t="shared" si="2"/>
        <v>1</v>
      </c>
      <c r="P62">
        <f t="shared" si="2"/>
        <v>0</v>
      </c>
      <c r="Q62">
        <f t="shared" si="2"/>
        <v>0</v>
      </c>
    </row>
    <row r="63" spans="1:17" x14ac:dyDescent="0.25">
      <c r="A63" t="s">
        <v>1</v>
      </c>
      <c r="B63">
        <v>2021</v>
      </c>
      <c r="C63">
        <v>-22.078613034903459</v>
      </c>
      <c r="D63">
        <v>10.24</v>
      </c>
      <c r="E63">
        <v>8</v>
      </c>
      <c r="F63" t="s">
        <v>508</v>
      </c>
      <c r="G63">
        <v>10.02</v>
      </c>
      <c r="I63" s="1" t="s">
        <v>290</v>
      </c>
      <c r="J63" s="1" t="s">
        <v>178</v>
      </c>
      <c r="K63" s="1" t="s">
        <v>254</v>
      </c>
      <c r="M63" t="s">
        <v>1</v>
      </c>
      <c r="N63" t="str">
        <f t="shared" si="1"/>
        <v>HIC</v>
      </c>
      <c r="O63">
        <f t="shared" si="2"/>
        <v>1</v>
      </c>
      <c r="P63">
        <f t="shared" si="2"/>
        <v>0</v>
      </c>
      <c r="Q63">
        <f t="shared" si="2"/>
        <v>0</v>
      </c>
    </row>
    <row r="64" spans="1:17" x14ac:dyDescent="0.25">
      <c r="A64" t="s">
        <v>1</v>
      </c>
      <c r="B64">
        <v>2022</v>
      </c>
      <c r="C64">
        <v>-5.7261083511878228</v>
      </c>
      <c r="D64">
        <v>12.41</v>
      </c>
      <c r="E64">
        <v>8</v>
      </c>
      <c r="F64" t="s">
        <v>509</v>
      </c>
      <c r="G64">
        <v>10.67</v>
      </c>
      <c r="I64" s="1" t="s">
        <v>291</v>
      </c>
      <c r="J64" s="1" t="s">
        <v>179</v>
      </c>
      <c r="K64" s="1" t="s">
        <v>254</v>
      </c>
      <c r="M64" t="s">
        <v>1</v>
      </c>
      <c r="N64" t="str">
        <f t="shared" si="1"/>
        <v>HIC</v>
      </c>
      <c r="O64">
        <f t="shared" si="2"/>
        <v>1</v>
      </c>
      <c r="P64">
        <f t="shared" si="2"/>
        <v>0</v>
      </c>
      <c r="Q64">
        <f t="shared" si="2"/>
        <v>0</v>
      </c>
    </row>
    <row r="65" spans="1:17" x14ac:dyDescent="0.25">
      <c r="A65" t="s">
        <v>1</v>
      </c>
      <c r="B65">
        <v>2023</v>
      </c>
      <c r="C65">
        <v>14.690210896594619</v>
      </c>
      <c r="D65">
        <v>12.85</v>
      </c>
      <c r="E65">
        <v>8</v>
      </c>
      <c r="F65" t="s">
        <v>510</v>
      </c>
      <c r="G65">
        <v>10.66</v>
      </c>
      <c r="I65" s="1" t="s">
        <v>292</v>
      </c>
      <c r="J65" s="1" t="s">
        <v>186</v>
      </c>
      <c r="K65" s="1" t="s">
        <v>254</v>
      </c>
      <c r="M65" t="s">
        <v>1</v>
      </c>
      <c r="N65" t="str">
        <f t="shared" si="1"/>
        <v>HIC</v>
      </c>
      <c r="O65">
        <f t="shared" si="2"/>
        <v>1</v>
      </c>
      <c r="P65">
        <f t="shared" si="2"/>
        <v>0</v>
      </c>
      <c r="Q65">
        <f t="shared" si="2"/>
        <v>0</v>
      </c>
    </row>
    <row r="66" spans="1:17" x14ac:dyDescent="0.25">
      <c r="A66" t="s">
        <v>8</v>
      </c>
      <c r="B66">
        <v>2016</v>
      </c>
      <c r="C66">
        <v>-3.1244874638704037</v>
      </c>
      <c r="D66">
        <v>16.420000000000002</v>
      </c>
      <c r="E66">
        <v>9</v>
      </c>
      <c r="F66" t="s">
        <v>511</v>
      </c>
      <c r="G66">
        <v>6.91</v>
      </c>
      <c r="I66" s="1" t="s">
        <v>293</v>
      </c>
      <c r="J66" s="1" t="s">
        <v>190</v>
      </c>
      <c r="K66" s="1" t="s">
        <v>254</v>
      </c>
      <c r="M66" t="s">
        <v>8</v>
      </c>
      <c r="N66" t="str">
        <f t="shared" si="1"/>
        <v>HIC</v>
      </c>
      <c r="O66">
        <f t="shared" si="2"/>
        <v>1</v>
      </c>
      <c r="P66">
        <f t="shared" si="2"/>
        <v>0</v>
      </c>
      <c r="Q66">
        <f t="shared" si="2"/>
        <v>0</v>
      </c>
    </row>
    <row r="67" spans="1:17" x14ac:dyDescent="0.25">
      <c r="A67" t="s">
        <v>8</v>
      </c>
      <c r="B67">
        <v>2017</v>
      </c>
      <c r="C67">
        <v>1.2123781498552928</v>
      </c>
      <c r="D67">
        <v>14.93</v>
      </c>
      <c r="E67">
        <v>9</v>
      </c>
      <c r="F67" t="s">
        <v>512</v>
      </c>
      <c r="G67">
        <v>6.32</v>
      </c>
      <c r="I67" s="1" t="s">
        <v>294</v>
      </c>
      <c r="J67" s="1" t="s">
        <v>15</v>
      </c>
      <c r="K67" s="1" t="s">
        <v>254</v>
      </c>
      <c r="M67" t="s">
        <v>8</v>
      </c>
      <c r="N67" t="str">
        <f t="shared" ref="N67:N130" si="3">VLOOKUP(M67,J:K,2,FALSE)</f>
        <v>HIC</v>
      </c>
      <c r="O67">
        <f t="shared" ref="O67:Q98" si="4">IF($N67=O$1,1,0)</f>
        <v>1</v>
      </c>
      <c r="P67">
        <f t="shared" si="4"/>
        <v>0</v>
      </c>
      <c r="Q67">
        <f t="shared" si="4"/>
        <v>0</v>
      </c>
    </row>
    <row r="68" spans="1:17" x14ac:dyDescent="0.25">
      <c r="A68" t="s">
        <v>8</v>
      </c>
      <c r="B68">
        <v>2018</v>
      </c>
      <c r="C68">
        <v>-2.9012332983704483</v>
      </c>
      <c r="D68">
        <v>14.61</v>
      </c>
      <c r="E68">
        <v>9</v>
      </c>
      <c r="F68" t="s">
        <v>513</v>
      </c>
      <c r="G68">
        <v>7.63</v>
      </c>
      <c r="I68" s="1" t="s">
        <v>295</v>
      </c>
      <c r="J68" s="1" t="s">
        <v>31</v>
      </c>
      <c r="K68" s="1" t="s">
        <v>254</v>
      </c>
      <c r="M68" t="s">
        <v>8</v>
      </c>
      <c r="N68" t="str">
        <f t="shared" si="3"/>
        <v>HIC</v>
      </c>
      <c r="O68">
        <f t="shared" si="4"/>
        <v>1</v>
      </c>
      <c r="P68">
        <f t="shared" si="4"/>
        <v>0</v>
      </c>
      <c r="Q68">
        <f t="shared" si="4"/>
        <v>0</v>
      </c>
    </row>
    <row r="69" spans="1:17" x14ac:dyDescent="0.25">
      <c r="A69" t="s">
        <v>8</v>
      </c>
      <c r="B69">
        <v>2019</v>
      </c>
      <c r="C69">
        <v>7.9929679391684267</v>
      </c>
      <c r="D69">
        <v>13.95</v>
      </c>
      <c r="E69">
        <v>9</v>
      </c>
      <c r="F69" t="s">
        <v>514</v>
      </c>
      <c r="G69">
        <v>6.97</v>
      </c>
      <c r="I69" s="1" t="s">
        <v>296</v>
      </c>
      <c r="J69" s="1" t="s">
        <v>28</v>
      </c>
      <c r="K69" s="1" t="s">
        <v>254</v>
      </c>
      <c r="M69" t="s">
        <v>8</v>
      </c>
      <c r="N69" t="str">
        <f t="shared" si="3"/>
        <v>HIC</v>
      </c>
      <c r="O69">
        <f t="shared" si="4"/>
        <v>1</v>
      </c>
      <c r="P69">
        <f t="shared" si="4"/>
        <v>0</v>
      </c>
      <c r="Q69">
        <f t="shared" si="4"/>
        <v>0</v>
      </c>
    </row>
    <row r="70" spans="1:17" x14ac:dyDescent="0.25">
      <c r="A70" t="s">
        <v>8</v>
      </c>
      <c r="B70">
        <v>2020</v>
      </c>
      <c r="C70">
        <v>-1.5880176257534726</v>
      </c>
      <c r="D70">
        <v>11.3</v>
      </c>
      <c r="E70">
        <v>9</v>
      </c>
      <c r="F70" t="s">
        <v>515</v>
      </c>
      <c r="G70">
        <v>8.27</v>
      </c>
      <c r="I70" s="1" t="s">
        <v>297</v>
      </c>
      <c r="J70" s="1" t="s">
        <v>202</v>
      </c>
      <c r="K70" s="1" t="s">
        <v>254</v>
      </c>
      <c r="M70" t="s">
        <v>8</v>
      </c>
      <c r="N70" t="str">
        <f t="shared" si="3"/>
        <v>HIC</v>
      </c>
      <c r="O70">
        <f t="shared" si="4"/>
        <v>1</v>
      </c>
      <c r="P70">
        <f t="shared" si="4"/>
        <v>0</v>
      </c>
      <c r="Q70">
        <f t="shared" si="4"/>
        <v>0</v>
      </c>
    </row>
    <row r="71" spans="1:17" x14ac:dyDescent="0.25">
      <c r="A71" t="s">
        <v>8</v>
      </c>
      <c r="B71">
        <v>2021</v>
      </c>
      <c r="C71">
        <v>-4.3413561506420697</v>
      </c>
      <c r="D71">
        <v>10.79</v>
      </c>
      <c r="E71">
        <v>9</v>
      </c>
      <c r="F71" t="s">
        <v>516</v>
      </c>
      <c r="G71">
        <v>6.55</v>
      </c>
      <c r="I71" s="1" t="s">
        <v>298</v>
      </c>
      <c r="J71" s="1" t="s">
        <v>211</v>
      </c>
      <c r="K71" s="1" t="s">
        <v>254</v>
      </c>
      <c r="M71" t="s">
        <v>8</v>
      </c>
      <c r="N71" t="str">
        <f t="shared" si="3"/>
        <v>HIC</v>
      </c>
      <c r="O71">
        <f t="shared" si="4"/>
        <v>1</v>
      </c>
      <c r="P71">
        <f t="shared" si="4"/>
        <v>0</v>
      </c>
      <c r="Q71">
        <f t="shared" si="4"/>
        <v>0</v>
      </c>
    </row>
    <row r="72" spans="1:17" x14ac:dyDescent="0.25">
      <c r="A72" t="s">
        <v>8</v>
      </c>
      <c r="B72">
        <v>2022</v>
      </c>
      <c r="C72">
        <v>13.064433240273907</v>
      </c>
      <c r="D72">
        <v>11.97</v>
      </c>
      <c r="E72">
        <v>9</v>
      </c>
      <c r="F72" t="s">
        <v>517</v>
      </c>
      <c r="G72">
        <v>7.37</v>
      </c>
      <c r="I72" s="1" t="s">
        <v>299</v>
      </c>
      <c r="J72" s="1" t="s">
        <v>212</v>
      </c>
      <c r="K72" s="1" t="s">
        <v>254</v>
      </c>
      <c r="M72" t="s">
        <v>8</v>
      </c>
      <c r="N72" t="str">
        <f t="shared" si="3"/>
        <v>HIC</v>
      </c>
      <c r="O72">
        <f t="shared" si="4"/>
        <v>1</v>
      </c>
      <c r="P72">
        <f t="shared" si="4"/>
        <v>0</v>
      </c>
      <c r="Q72">
        <f t="shared" si="4"/>
        <v>0</v>
      </c>
    </row>
    <row r="73" spans="1:17" x14ac:dyDescent="0.25">
      <c r="A73" t="s">
        <v>8</v>
      </c>
      <c r="B73">
        <v>2023</v>
      </c>
      <c r="C73">
        <v>-6.8302151026374949</v>
      </c>
      <c r="D73">
        <v>12.43</v>
      </c>
      <c r="E73">
        <v>9</v>
      </c>
      <c r="F73" t="s">
        <v>518</v>
      </c>
      <c r="G73">
        <v>7.13</v>
      </c>
      <c r="I73" s="1" t="s">
        <v>300</v>
      </c>
      <c r="J73" s="1" t="s">
        <v>214</v>
      </c>
      <c r="K73" s="1" t="s">
        <v>254</v>
      </c>
      <c r="M73" t="s">
        <v>8</v>
      </c>
      <c r="N73" t="str">
        <f t="shared" si="3"/>
        <v>HIC</v>
      </c>
      <c r="O73">
        <f t="shared" si="4"/>
        <v>1</v>
      </c>
      <c r="P73">
        <f t="shared" si="4"/>
        <v>0</v>
      </c>
      <c r="Q73">
        <f t="shared" si="4"/>
        <v>0</v>
      </c>
    </row>
    <row r="74" spans="1:17" x14ac:dyDescent="0.25">
      <c r="A74" t="s">
        <v>13</v>
      </c>
      <c r="B74">
        <v>2016</v>
      </c>
      <c r="C74">
        <v>2.3358954885303915</v>
      </c>
      <c r="D74">
        <v>19.68</v>
      </c>
      <c r="E74">
        <v>10</v>
      </c>
      <c r="F74" t="s">
        <v>519</v>
      </c>
      <c r="G74">
        <v>17.27</v>
      </c>
      <c r="I74" s="1" t="s">
        <v>301</v>
      </c>
      <c r="J74" s="1" t="s">
        <v>216</v>
      </c>
      <c r="K74" s="1" t="s">
        <v>254</v>
      </c>
      <c r="M74" t="s">
        <v>13</v>
      </c>
      <c r="N74" t="str">
        <f t="shared" si="3"/>
        <v>HIC</v>
      </c>
      <c r="O74">
        <f t="shared" si="4"/>
        <v>1</v>
      </c>
      <c r="P74">
        <f t="shared" si="4"/>
        <v>0</v>
      </c>
      <c r="Q74">
        <f t="shared" si="4"/>
        <v>0</v>
      </c>
    </row>
    <row r="75" spans="1:17" x14ac:dyDescent="0.25">
      <c r="A75" t="s">
        <v>13</v>
      </c>
      <c r="B75">
        <v>2017</v>
      </c>
      <c r="C75">
        <v>-0.89539456026350184</v>
      </c>
      <c r="D75">
        <v>19.829999999999998</v>
      </c>
      <c r="E75">
        <v>10</v>
      </c>
      <c r="F75" t="s">
        <v>520</v>
      </c>
      <c r="G75">
        <v>17.52</v>
      </c>
      <c r="I75" s="1" t="s">
        <v>302</v>
      </c>
      <c r="J75" s="1" t="s">
        <v>52</v>
      </c>
      <c r="K75" s="1" t="s">
        <v>254</v>
      </c>
      <c r="M75" t="s">
        <v>13</v>
      </c>
      <c r="N75" t="str">
        <f t="shared" si="3"/>
        <v>HIC</v>
      </c>
      <c r="O75">
        <f t="shared" si="4"/>
        <v>1</v>
      </c>
      <c r="P75">
        <f t="shared" si="4"/>
        <v>0</v>
      </c>
      <c r="Q75">
        <f t="shared" si="4"/>
        <v>0</v>
      </c>
    </row>
    <row r="76" spans="1:17" x14ac:dyDescent="0.25">
      <c r="A76" t="s">
        <v>13</v>
      </c>
      <c r="B76">
        <v>2018</v>
      </c>
      <c r="C76">
        <v>14.992624051464478</v>
      </c>
      <c r="D76">
        <v>20.350000000000001</v>
      </c>
      <c r="E76">
        <v>10</v>
      </c>
      <c r="F76" t="s">
        <v>521</v>
      </c>
      <c r="G76">
        <v>18.3</v>
      </c>
      <c r="I76" s="1" t="s">
        <v>303</v>
      </c>
      <c r="J76" s="1" t="s">
        <v>218</v>
      </c>
      <c r="K76" s="1" t="s">
        <v>254</v>
      </c>
      <c r="M76" t="s">
        <v>13</v>
      </c>
      <c r="N76" t="str">
        <f t="shared" si="3"/>
        <v>HIC</v>
      </c>
      <c r="O76">
        <f t="shared" si="4"/>
        <v>1</v>
      </c>
      <c r="P76">
        <f t="shared" si="4"/>
        <v>0</v>
      </c>
      <c r="Q76">
        <f t="shared" si="4"/>
        <v>0</v>
      </c>
    </row>
    <row r="77" spans="1:17" x14ac:dyDescent="0.25">
      <c r="A77" t="s">
        <v>13</v>
      </c>
      <c r="B77">
        <v>2019</v>
      </c>
      <c r="C77">
        <v>3.875234066458713</v>
      </c>
      <c r="D77">
        <v>20.55</v>
      </c>
      <c r="E77">
        <v>10</v>
      </c>
      <c r="F77" t="s">
        <v>522</v>
      </c>
      <c r="G77">
        <v>18.32</v>
      </c>
      <c r="I77" s="1" t="s">
        <v>304</v>
      </c>
      <c r="J77" s="1" t="s">
        <v>57</v>
      </c>
      <c r="K77" s="1" t="s">
        <v>305</v>
      </c>
      <c r="M77" t="s">
        <v>13</v>
      </c>
      <c r="N77" t="str">
        <f t="shared" si="3"/>
        <v>HIC</v>
      </c>
      <c r="O77">
        <f t="shared" si="4"/>
        <v>1</v>
      </c>
      <c r="P77">
        <f t="shared" si="4"/>
        <v>0</v>
      </c>
      <c r="Q77">
        <f t="shared" si="4"/>
        <v>0</v>
      </c>
    </row>
    <row r="78" spans="1:17" x14ac:dyDescent="0.25">
      <c r="A78" t="s">
        <v>13</v>
      </c>
      <c r="B78">
        <v>2020</v>
      </c>
      <c r="C78">
        <v>6.238351127717964</v>
      </c>
      <c r="D78">
        <v>17.29</v>
      </c>
      <c r="E78">
        <v>10</v>
      </c>
      <c r="F78" t="s">
        <v>523</v>
      </c>
      <c r="G78">
        <v>17.84</v>
      </c>
      <c r="I78" s="1" t="s">
        <v>306</v>
      </c>
      <c r="J78" s="1" t="s">
        <v>58</v>
      </c>
      <c r="K78" s="1" t="s">
        <v>305</v>
      </c>
      <c r="M78" t="s">
        <v>13</v>
      </c>
      <c r="N78" t="str">
        <f t="shared" si="3"/>
        <v>HIC</v>
      </c>
      <c r="O78">
        <f t="shared" si="4"/>
        <v>1</v>
      </c>
      <c r="P78">
        <f t="shared" si="4"/>
        <v>0</v>
      </c>
      <c r="Q78">
        <f t="shared" si="4"/>
        <v>0</v>
      </c>
    </row>
    <row r="79" spans="1:17" x14ac:dyDescent="0.25">
      <c r="A79" t="s">
        <v>13</v>
      </c>
      <c r="B79">
        <v>2021</v>
      </c>
      <c r="C79">
        <v>28.553982430460621</v>
      </c>
      <c r="D79">
        <v>18.34</v>
      </c>
      <c r="E79">
        <v>10</v>
      </c>
      <c r="F79" t="s">
        <v>524</v>
      </c>
      <c r="G79">
        <v>17.170000000000002</v>
      </c>
      <c r="I79" s="1" t="s">
        <v>307</v>
      </c>
      <c r="J79" s="1" t="s">
        <v>64</v>
      </c>
      <c r="K79" s="1" t="s">
        <v>305</v>
      </c>
      <c r="M79" t="s">
        <v>13</v>
      </c>
      <c r="N79" t="str">
        <f t="shared" si="3"/>
        <v>HIC</v>
      </c>
      <c r="O79">
        <f t="shared" si="4"/>
        <v>1</v>
      </c>
      <c r="P79">
        <f t="shared" si="4"/>
        <v>0</v>
      </c>
      <c r="Q79">
        <f t="shared" si="4"/>
        <v>0</v>
      </c>
    </row>
    <row r="80" spans="1:17" x14ac:dyDescent="0.25">
      <c r="A80" t="s">
        <v>13</v>
      </c>
      <c r="B80">
        <v>2022</v>
      </c>
      <c r="C80">
        <v>-2.5140240577791269</v>
      </c>
      <c r="D80">
        <v>20.420000000000002</v>
      </c>
      <c r="E80">
        <v>10</v>
      </c>
      <c r="F80" t="s">
        <v>525</v>
      </c>
      <c r="G80">
        <v>18.440000000000001</v>
      </c>
      <c r="I80" s="1" t="s">
        <v>308</v>
      </c>
      <c r="J80" s="1" t="s">
        <v>30</v>
      </c>
      <c r="K80" s="1" t="s">
        <v>305</v>
      </c>
      <c r="M80" t="s">
        <v>13</v>
      </c>
      <c r="N80" t="str">
        <f t="shared" si="3"/>
        <v>HIC</v>
      </c>
      <c r="O80">
        <f t="shared" si="4"/>
        <v>1</v>
      </c>
      <c r="P80">
        <f t="shared" si="4"/>
        <v>0</v>
      </c>
      <c r="Q80">
        <f t="shared" si="4"/>
        <v>0</v>
      </c>
    </row>
    <row r="81" spans="1:17" x14ac:dyDescent="0.25">
      <c r="A81" t="s">
        <v>13</v>
      </c>
      <c r="B81">
        <v>2023</v>
      </c>
      <c r="C81">
        <v>-1.4471783219161194</v>
      </c>
      <c r="D81">
        <v>21.48</v>
      </c>
      <c r="E81">
        <v>10</v>
      </c>
      <c r="F81" t="s">
        <v>526</v>
      </c>
      <c r="G81">
        <v>18.489999999999998</v>
      </c>
      <c r="I81" s="1" t="s">
        <v>309</v>
      </c>
      <c r="J81" s="1" t="s">
        <v>67</v>
      </c>
      <c r="K81" s="1" t="s">
        <v>305</v>
      </c>
      <c r="M81" t="s">
        <v>13</v>
      </c>
      <c r="N81" t="str">
        <f t="shared" si="3"/>
        <v>HIC</v>
      </c>
      <c r="O81">
        <f t="shared" si="4"/>
        <v>1</v>
      </c>
      <c r="P81">
        <f t="shared" si="4"/>
        <v>0</v>
      </c>
      <c r="Q81">
        <f t="shared" si="4"/>
        <v>0</v>
      </c>
    </row>
    <row r="82" spans="1:17" x14ac:dyDescent="0.25">
      <c r="A82" t="s">
        <v>6</v>
      </c>
      <c r="B82">
        <v>2016</v>
      </c>
      <c r="C82">
        <v>-6.2815423660379581</v>
      </c>
      <c r="D82">
        <v>14.96</v>
      </c>
      <c r="E82">
        <v>11</v>
      </c>
      <c r="F82" t="s">
        <v>527</v>
      </c>
      <c r="G82">
        <v>16.920000000000002</v>
      </c>
      <c r="I82" s="1" t="s">
        <v>310</v>
      </c>
      <c r="J82" s="1" t="s">
        <v>11</v>
      </c>
      <c r="K82" s="1" t="s">
        <v>305</v>
      </c>
      <c r="M82" t="s">
        <v>6</v>
      </c>
      <c r="N82" t="str">
        <f t="shared" si="3"/>
        <v>HIC</v>
      </c>
      <c r="O82">
        <f t="shared" si="4"/>
        <v>1</v>
      </c>
      <c r="P82">
        <f t="shared" si="4"/>
        <v>0</v>
      </c>
      <c r="Q82">
        <f t="shared" si="4"/>
        <v>0</v>
      </c>
    </row>
    <row r="83" spans="1:17" x14ac:dyDescent="0.25">
      <c r="A83" t="s">
        <v>6</v>
      </c>
      <c r="B83">
        <v>2017</v>
      </c>
      <c r="C83">
        <v>12.36789041141081</v>
      </c>
      <c r="D83">
        <v>15.13</v>
      </c>
      <c r="E83">
        <v>11</v>
      </c>
      <c r="F83" t="s">
        <v>528</v>
      </c>
      <c r="G83">
        <v>17.190000000000001</v>
      </c>
      <c r="I83" s="1" t="s">
        <v>311</v>
      </c>
      <c r="J83" s="1" t="s">
        <v>71</v>
      </c>
      <c r="K83" s="1" t="s">
        <v>305</v>
      </c>
      <c r="M83" t="s">
        <v>6</v>
      </c>
      <c r="N83" t="str">
        <f t="shared" si="3"/>
        <v>HIC</v>
      </c>
      <c r="O83">
        <f t="shared" si="4"/>
        <v>1</v>
      </c>
      <c r="P83">
        <f t="shared" si="4"/>
        <v>0</v>
      </c>
      <c r="Q83">
        <f t="shared" si="4"/>
        <v>0</v>
      </c>
    </row>
    <row r="84" spans="1:17" x14ac:dyDescent="0.25">
      <c r="A84" t="s">
        <v>6</v>
      </c>
      <c r="B84">
        <v>2018</v>
      </c>
      <c r="C84">
        <v>-2.2193619060660046</v>
      </c>
      <c r="D84">
        <v>15.42</v>
      </c>
      <c r="E84">
        <v>11</v>
      </c>
      <c r="F84" t="s">
        <v>529</v>
      </c>
      <c r="G84">
        <v>18.16</v>
      </c>
      <c r="I84" s="1" t="s">
        <v>312</v>
      </c>
      <c r="J84" s="1" t="s">
        <v>75</v>
      </c>
      <c r="K84" s="1" t="s">
        <v>305</v>
      </c>
      <c r="M84" t="s">
        <v>6</v>
      </c>
      <c r="N84" t="str">
        <f t="shared" si="3"/>
        <v>HIC</v>
      </c>
      <c r="O84">
        <f t="shared" si="4"/>
        <v>1</v>
      </c>
      <c r="P84">
        <f t="shared" si="4"/>
        <v>0</v>
      </c>
      <c r="Q84">
        <f t="shared" si="4"/>
        <v>0</v>
      </c>
    </row>
    <row r="85" spans="1:17" x14ac:dyDescent="0.25">
      <c r="A85" t="s">
        <v>6</v>
      </c>
      <c r="B85">
        <v>2019</v>
      </c>
      <c r="C85">
        <v>-3.1872363785058448</v>
      </c>
      <c r="D85">
        <v>15.04</v>
      </c>
      <c r="E85">
        <v>11</v>
      </c>
      <c r="F85" t="s">
        <v>530</v>
      </c>
      <c r="G85">
        <v>18.3</v>
      </c>
      <c r="I85" s="1" t="s">
        <v>313</v>
      </c>
      <c r="J85" s="1" t="s">
        <v>76</v>
      </c>
      <c r="K85" s="1" t="s">
        <v>305</v>
      </c>
      <c r="M85" t="s">
        <v>6</v>
      </c>
      <c r="N85" t="str">
        <f t="shared" si="3"/>
        <v>HIC</v>
      </c>
      <c r="O85">
        <f t="shared" si="4"/>
        <v>1</v>
      </c>
      <c r="P85">
        <f t="shared" si="4"/>
        <v>0</v>
      </c>
      <c r="Q85">
        <f t="shared" si="4"/>
        <v>0</v>
      </c>
    </row>
    <row r="86" spans="1:17" x14ac:dyDescent="0.25">
      <c r="A86" t="s">
        <v>6</v>
      </c>
      <c r="B86">
        <v>2020</v>
      </c>
      <c r="C86">
        <v>6.6686608840149413</v>
      </c>
      <c r="D86">
        <v>11.85</v>
      </c>
      <c r="E86">
        <v>11</v>
      </c>
      <c r="F86" t="s">
        <v>531</v>
      </c>
      <c r="G86">
        <v>17.489999999999998</v>
      </c>
      <c r="I86" s="1" t="s">
        <v>314</v>
      </c>
      <c r="J86" s="1" t="s">
        <v>77</v>
      </c>
      <c r="K86" s="1" t="s">
        <v>305</v>
      </c>
      <c r="M86" t="s">
        <v>6</v>
      </c>
      <c r="N86" t="str">
        <f t="shared" si="3"/>
        <v>HIC</v>
      </c>
      <c r="O86">
        <f t="shared" si="4"/>
        <v>1</v>
      </c>
      <c r="P86">
        <f t="shared" si="4"/>
        <v>0</v>
      </c>
      <c r="Q86">
        <f t="shared" si="4"/>
        <v>0</v>
      </c>
    </row>
    <row r="87" spans="1:17" x14ac:dyDescent="0.25">
      <c r="A87" t="s">
        <v>6</v>
      </c>
      <c r="B87">
        <v>2021</v>
      </c>
      <c r="C87">
        <v>-2.2299625675381614</v>
      </c>
      <c r="D87">
        <v>12.58</v>
      </c>
      <c r="E87">
        <v>11</v>
      </c>
      <c r="F87" t="s">
        <v>532</v>
      </c>
      <c r="G87">
        <v>16.8</v>
      </c>
      <c r="I87" s="1" t="s">
        <v>315</v>
      </c>
      <c r="J87" s="1" t="s">
        <v>82</v>
      </c>
      <c r="K87" s="1" t="s">
        <v>305</v>
      </c>
      <c r="M87" t="s">
        <v>6</v>
      </c>
      <c r="N87" t="str">
        <f t="shared" si="3"/>
        <v>HIC</v>
      </c>
      <c r="O87">
        <f t="shared" si="4"/>
        <v>1</v>
      </c>
      <c r="P87">
        <f t="shared" si="4"/>
        <v>0</v>
      </c>
      <c r="Q87">
        <f t="shared" si="4"/>
        <v>0</v>
      </c>
    </row>
    <row r="88" spans="1:17" x14ac:dyDescent="0.25">
      <c r="A88" t="s">
        <v>6</v>
      </c>
      <c r="B88">
        <v>2022</v>
      </c>
      <c r="C88">
        <v>2.9534656139885795</v>
      </c>
      <c r="D88">
        <v>14.97</v>
      </c>
      <c r="E88">
        <v>11</v>
      </c>
      <c r="F88" t="s">
        <v>533</v>
      </c>
      <c r="G88">
        <v>17.96</v>
      </c>
      <c r="I88" s="1" t="s">
        <v>316</v>
      </c>
      <c r="J88" s="1" t="s">
        <v>90</v>
      </c>
      <c r="K88" s="1" t="s">
        <v>305</v>
      </c>
      <c r="M88" t="s">
        <v>6</v>
      </c>
      <c r="N88" t="str">
        <f t="shared" si="3"/>
        <v>HIC</v>
      </c>
      <c r="O88">
        <f t="shared" si="4"/>
        <v>1</v>
      </c>
      <c r="P88">
        <f t="shared" si="4"/>
        <v>0</v>
      </c>
      <c r="Q88">
        <f t="shared" si="4"/>
        <v>0</v>
      </c>
    </row>
    <row r="89" spans="1:17" x14ac:dyDescent="0.25">
      <c r="A89" t="s">
        <v>6</v>
      </c>
      <c r="B89">
        <v>2023</v>
      </c>
      <c r="C89">
        <v>-4.1606043009278579</v>
      </c>
      <c r="D89">
        <v>14.67</v>
      </c>
      <c r="E89">
        <v>11</v>
      </c>
      <c r="F89" t="s">
        <v>534</v>
      </c>
      <c r="G89">
        <v>18.22</v>
      </c>
      <c r="I89" s="1" t="s">
        <v>317</v>
      </c>
      <c r="J89" s="1" t="s">
        <v>36</v>
      </c>
      <c r="K89" s="1" t="s">
        <v>305</v>
      </c>
      <c r="M89" t="s">
        <v>6</v>
      </c>
      <c r="N89" t="str">
        <f t="shared" si="3"/>
        <v>HIC</v>
      </c>
      <c r="O89">
        <f t="shared" si="4"/>
        <v>1</v>
      </c>
      <c r="P89">
        <f t="shared" si="4"/>
        <v>0</v>
      </c>
      <c r="Q89">
        <f t="shared" si="4"/>
        <v>0</v>
      </c>
    </row>
    <row r="90" spans="1:17" x14ac:dyDescent="0.25">
      <c r="A90" t="s">
        <v>17</v>
      </c>
      <c r="B90">
        <v>2016</v>
      </c>
      <c r="C90">
        <v>1.4991929382093323</v>
      </c>
      <c r="D90">
        <v>21.93</v>
      </c>
      <c r="E90">
        <v>12</v>
      </c>
      <c r="F90" t="s">
        <v>535</v>
      </c>
      <c r="G90">
        <v>13.21</v>
      </c>
      <c r="I90" s="1" t="s">
        <v>318</v>
      </c>
      <c r="J90" s="1" t="s">
        <v>96</v>
      </c>
      <c r="K90" s="1" t="s">
        <v>305</v>
      </c>
      <c r="M90" t="s">
        <v>17</v>
      </c>
      <c r="N90" t="str">
        <f t="shared" si="3"/>
        <v>HIC</v>
      </c>
      <c r="O90">
        <f t="shared" si="4"/>
        <v>1</v>
      </c>
      <c r="P90">
        <f t="shared" si="4"/>
        <v>0</v>
      </c>
      <c r="Q90">
        <f t="shared" si="4"/>
        <v>0</v>
      </c>
    </row>
    <row r="91" spans="1:17" x14ac:dyDescent="0.25">
      <c r="A91" t="s">
        <v>17</v>
      </c>
      <c r="B91">
        <v>2017</v>
      </c>
      <c r="C91">
        <v>12.892889773814659</v>
      </c>
      <c r="D91">
        <v>20.86</v>
      </c>
      <c r="E91">
        <v>12</v>
      </c>
      <c r="F91" t="s">
        <v>536</v>
      </c>
      <c r="G91">
        <v>13.39</v>
      </c>
      <c r="I91" s="1" t="s">
        <v>319</v>
      </c>
      <c r="J91" s="1" t="s">
        <v>99</v>
      </c>
      <c r="K91" s="1" t="s">
        <v>305</v>
      </c>
      <c r="M91" t="s">
        <v>17</v>
      </c>
      <c r="N91" t="str">
        <f t="shared" si="3"/>
        <v>HIC</v>
      </c>
      <c r="O91">
        <f t="shared" si="4"/>
        <v>1</v>
      </c>
      <c r="P91">
        <f t="shared" si="4"/>
        <v>0</v>
      </c>
      <c r="Q91">
        <f t="shared" si="4"/>
        <v>0</v>
      </c>
    </row>
    <row r="92" spans="1:17" x14ac:dyDescent="0.25">
      <c r="A92" t="s">
        <v>17</v>
      </c>
      <c r="B92">
        <v>2018</v>
      </c>
      <c r="C92">
        <v>-18.790705454833585</v>
      </c>
      <c r="D92">
        <v>22.33</v>
      </c>
      <c r="E92">
        <v>12</v>
      </c>
      <c r="F92" t="s">
        <v>537</v>
      </c>
      <c r="G92">
        <v>13.36</v>
      </c>
      <c r="I92" s="1" t="s">
        <v>320</v>
      </c>
      <c r="J92" s="1" t="s">
        <v>100</v>
      </c>
      <c r="K92" s="1" t="s">
        <v>305</v>
      </c>
      <c r="M92" t="s">
        <v>17</v>
      </c>
      <c r="N92" t="str">
        <f t="shared" si="3"/>
        <v>HIC</v>
      </c>
      <c r="O92">
        <f t="shared" si="4"/>
        <v>1</v>
      </c>
      <c r="P92">
        <f t="shared" si="4"/>
        <v>0</v>
      </c>
      <c r="Q92">
        <f t="shared" si="4"/>
        <v>0</v>
      </c>
    </row>
    <row r="93" spans="1:17" x14ac:dyDescent="0.25">
      <c r="A93" t="s">
        <v>17</v>
      </c>
      <c r="B93">
        <v>2019</v>
      </c>
      <c r="C93">
        <v>2.7585720906658886</v>
      </c>
      <c r="D93">
        <v>22.68</v>
      </c>
      <c r="E93">
        <v>12</v>
      </c>
      <c r="F93" t="s">
        <v>538</v>
      </c>
      <c r="G93">
        <v>13.36</v>
      </c>
      <c r="I93" s="1" t="s">
        <v>321</v>
      </c>
      <c r="J93" s="1" t="s">
        <v>101</v>
      </c>
      <c r="K93" s="1" t="s">
        <v>305</v>
      </c>
      <c r="M93" t="s">
        <v>17</v>
      </c>
      <c r="N93" t="str">
        <f t="shared" si="3"/>
        <v>HIC</v>
      </c>
      <c r="O93">
        <f t="shared" si="4"/>
        <v>1</v>
      </c>
      <c r="P93">
        <f t="shared" si="4"/>
        <v>0</v>
      </c>
      <c r="Q93">
        <f t="shared" si="4"/>
        <v>0</v>
      </c>
    </row>
    <row r="94" spans="1:17" x14ac:dyDescent="0.25">
      <c r="A94" t="s">
        <v>17</v>
      </c>
      <c r="B94">
        <v>2020</v>
      </c>
      <c r="C94">
        <v>-0.42992374788005394</v>
      </c>
      <c r="D94">
        <v>18.55</v>
      </c>
      <c r="E94">
        <v>12</v>
      </c>
      <c r="F94" t="s">
        <v>539</v>
      </c>
      <c r="G94">
        <v>13.35</v>
      </c>
      <c r="I94" s="1" t="s">
        <v>322</v>
      </c>
      <c r="J94" s="1" t="s">
        <v>102</v>
      </c>
      <c r="K94" s="1" t="s">
        <v>305</v>
      </c>
      <c r="M94" t="s">
        <v>17</v>
      </c>
      <c r="N94" t="str">
        <f t="shared" si="3"/>
        <v>HIC</v>
      </c>
      <c r="O94">
        <f t="shared" si="4"/>
        <v>1</v>
      </c>
      <c r="P94">
        <f t="shared" si="4"/>
        <v>0</v>
      </c>
      <c r="Q94">
        <f t="shared" si="4"/>
        <v>0</v>
      </c>
    </row>
    <row r="95" spans="1:17" x14ac:dyDescent="0.25">
      <c r="A95" t="s">
        <v>17</v>
      </c>
      <c r="B95">
        <v>2021</v>
      </c>
      <c r="C95">
        <v>11.518461909315597</v>
      </c>
      <c r="D95">
        <v>17.739999999999998</v>
      </c>
      <c r="E95">
        <v>12</v>
      </c>
      <c r="F95" t="s">
        <v>540</v>
      </c>
      <c r="G95">
        <v>13.42</v>
      </c>
      <c r="I95" s="1" t="s">
        <v>323</v>
      </c>
      <c r="J95" s="1" t="s">
        <v>103</v>
      </c>
      <c r="K95" s="1" t="s">
        <v>305</v>
      </c>
      <c r="M95" t="s">
        <v>17</v>
      </c>
      <c r="N95" t="str">
        <f t="shared" si="3"/>
        <v>HIC</v>
      </c>
      <c r="O95">
        <f t="shared" si="4"/>
        <v>1</v>
      </c>
      <c r="P95">
        <f t="shared" si="4"/>
        <v>0</v>
      </c>
      <c r="Q95">
        <f t="shared" si="4"/>
        <v>0</v>
      </c>
    </row>
    <row r="96" spans="1:17" x14ac:dyDescent="0.25">
      <c r="A96" t="s">
        <v>17</v>
      </c>
      <c r="B96">
        <v>2022</v>
      </c>
      <c r="C96">
        <v>4.5488016342430937</v>
      </c>
      <c r="D96">
        <v>22.94</v>
      </c>
      <c r="E96">
        <v>12</v>
      </c>
      <c r="F96" t="s">
        <v>541</v>
      </c>
      <c r="G96">
        <v>14.08</v>
      </c>
      <c r="I96" s="1" t="s">
        <v>324</v>
      </c>
      <c r="J96" s="1" t="s">
        <v>108</v>
      </c>
      <c r="K96" s="1" t="s">
        <v>305</v>
      </c>
      <c r="M96" t="s">
        <v>17</v>
      </c>
      <c r="N96" t="str">
        <f t="shared" si="3"/>
        <v>HIC</v>
      </c>
      <c r="O96">
        <f t="shared" si="4"/>
        <v>1</v>
      </c>
      <c r="P96">
        <f t="shared" si="4"/>
        <v>0</v>
      </c>
      <c r="Q96">
        <f t="shared" si="4"/>
        <v>0</v>
      </c>
    </row>
    <row r="97" spans="1:17" x14ac:dyDescent="0.25">
      <c r="A97" t="s">
        <v>17</v>
      </c>
      <c r="B97">
        <v>2023</v>
      </c>
      <c r="C97">
        <v>-20.21175080656155</v>
      </c>
      <c r="D97">
        <v>22.77</v>
      </c>
      <c r="E97">
        <v>12</v>
      </c>
      <c r="F97" t="s">
        <v>542</v>
      </c>
      <c r="G97">
        <v>13.99</v>
      </c>
      <c r="I97" s="1" t="s">
        <v>325</v>
      </c>
      <c r="J97" s="1" t="s">
        <v>44</v>
      </c>
      <c r="K97" s="1" t="s">
        <v>305</v>
      </c>
      <c r="M97" t="s">
        <v>17</v>
      </c>
      <c r="N97" t="str">
        <f t="shared" si="3"/>
        <v>HIC</v>
      </c>
      <c r="O97">
        <f t="shared" si="4"/>
        <v>1</v>
      </c>
      <c r="P97">
        <f t="shared" si="4"/>
        <v>0</v>
      </c>
      <c r="Q97">
        <f t="shared" si="4"/>
        <v>0</v>
      </c>
    </row>
    <row r="98" spans="1:17" x14ac:dyDescent="0.25">
      <c r="A98" t="s">
        <v>23</v>
      </c>
      <c r="B98">
        <v>2016</v>
      </c>
      <c r="C98">
        <v>5.1742843967502541</v>
      </c>
      <c r="D98">
        <v>26.26</v>
      </c>
      <c r="E98">
        <v>13</v>
      </c>
      <c r="F98" t="s">
        <v>543</v>
      </c>
      <c r="G98">
        <v>17.75</v>
      </c>
      <c r="I98" s="1" t="s">
        <v>326</v>
      </c>
      <c r="J98" s="1" t="s">
        <v>19</v>
      </c>
      <c r="K98" s="1" t="s">
        <v>305</v>
      </c>
      <c r="M98" t="s">
        <v>23</v>
      </c>
      <c r="N98" t="str">
        <f t="shared" si="3"/>
        <v>HIC</v>
      </c>
      <c r="O98">
        <f t="shared" si="4"/>
        <v>1</v>
      </c>
      <c r="P98">
        <f t="shared" si="4"/>
        <v>0</v>
      </c>
      <c r="Q98">
        <f t="shared" si="4"/>
        <v>0</v>
      </c>
    </row>
    <row r="99" spans="1:17" x14ac:dyDescent="0.25">
      <c r="A99" t="s">
        <v>23</v>
      </c>
      <c r="B99">
        <v>2017</v>
      </c>
      <c r="C99">
        <v>0.10545826409305893</v>
      </c>
      <c r="D99">
        <v>22.95</v>
      </c>
      <c r="E99">
        <v>13</v>
      </c>
      <c r="F99" t="s">
        <v>544</v>
      </c>
      <c r="G99">
        <v>17.809999999999999</v>
      </c>
      <c r="I99" s="1" t="s">
        <v>327</v>
      </c>
      <c r="J99" s="1" t="s">
        <v>116</v>
      </c>
      <c r="K99" s="1" t="s">
        <v>305</v>
      </c>
      <c r="M99" t="s">
        <v>23</v>
      </c>
      <c r="N99" t="str">
        <f t="shared" si="3"/>
        <v>HIC</v>
      </c>
      <c r="O99">
        <f t="shared" ref="O99:Q130" si="5">IF($N99=O$1,1,0)</f>
        <v>1</v>
      </c>
      <c r="P99">
        <f t="shared" si="5"/>
        <v>0</v>
      </c>
      <c r="Q99">
        <f t="shared" si="5"/>
        <v>0</v>
      </c>
    </row>
    <row r="100" spans="1:17" x14ac:dyDescent="0.25">
      <c r="A100" t="s">
        <v>23</v>
      </c>
      <c r="B100">
        <v>2018</v>
      </c>
      <c r="C100">
        <v>-7.4220699122107003</v>
      </c>
      <c r="D100">
        <v>23.57</v>
      </c>
      <c r="E100">
        <v>13</v>
      </c>
      <c r="F100" t="s">
        <v>545</v>
      </c>
      <c r="G100">
        <v>18.23</v>
      </c>
      <c r="I100" s="1" t="s">
        <v>328</v>
      </c>
      <c r="J100" s="1" t="s">
        <v>118</v>
      </c>
      <c r="K100" s="1" t="s">
        <v>305</v>
      </c>
      <c r="M100" t="s">
        <v>23</v>
      </c>
      <c r="N100" t="str">
        <f t="shared" si="3"/>
        <v>HIC</v>
      </c>
      <c r="O100">
        <f t="shared" si="5"/>
        <v>1</v>
      </c>
      <c r="P100">
        <f t="shared" si="5"/>
        <v>0</v>
      </c>
      <c r="Q100">
        <f t="shared" si="5"/>
        <v>0</v>
      </c>
    </row>
    <row r="101" spans="1:17" x14ac:dyDescent="0.25">
      <c r="A101" t="s">
        <v>23</v>
      </c>
      <c r="B101">
        <v>2019</v>
      </c>
      <c r="C101">
        <v>-8.7050807377256909</v>
      </c>
      <c r="D101">
        <v>23.99</v>
      </c>
      <c r="E101">
        <v>13</v>
      </c>
      <c r="F101" t="s">
        <v>546</v>
      </c>
      <c r="G101">
        <v>18.12</v>
      </c>
      <c r="I101" s="1" t="s">
        <v>329</v>
      </c>
      <c r="J101" s="1" t="s">
        <v>53</v>
      </c>
      <c r="K101" s="1" t="s">
        <v>305</v>
      </c>
      <c r="M101" t="s">
        <v>23</v>
      </c>
      <c r="N101" t="str">
        <f t="shared" si="3"/>
        <v>HIC</v>
      </c>
      <c r="O101">
        <f t="shared" si="5"/>
        <v>1</v>
      </c>
      <c r="P101">
        <f t="shared" si="5"/>
        <v>0</v>
      </c>
      <c r="Q101">
        <f t="shared" si="5"/>
        <v>0</v>
      </c>
    </row>
    <row r="102" spans="1:17" x14ac:dyDescent="0.25">
      <c r="A102" t="s">
        <v>23</v>
      </c>
      <c r="B102">
        <v>2020</v>
      </c>
      <c r="C102">
        <v>-4.9763185367939213</v>
      </c>
      <c r="D102">
        <v>20.53</v>
      </c>
      <c r="E102">
        <v>13</v>
      </c>
      <c r="F102" t="s">
        <v>547</v>
      </c>
      <c r="G102">
        <v>18.22</v>
      </c>
      <c r="I102" s="1" t="s">
        <v>330</v>
      </c>
      <c r="J102" s="1" t="s">
        <v>41</v>
      </c>
      <c r="K102" s="1" t="s">
        <v>305</v>
      </c>
      <c r="M102" t="s">
        <v>23</v>
      </c>
      <c r="N102" t="str">
        <f t="shared" si="3"/>
        <v>HIC</v>
      </c>
      <c r="O102">
        <f t="shared" si="5"/>
        <v>1</v>
      </c>
      <c r="P102">
        <f t="shared" si="5"/>
        <v>0</v>
      </c>
      <c r="Q102">
        <f t="shared" si="5"/>
        <v>0</v>
      </c>
    </row>
    <row r="103" spans="1:17" x14ac:dyDescent="0.25">
      <c r="A103" t="s">
        <v>23</v>
      </c>
      <c r="B103">
        <v>2021</v>
      </c>
      <c r="C103">
        <v>15.956435068632768</v>
      </c>
      <c r="D103">
        <v>19.670000000000002</v>
      </c>
      <c r="E103">
        <v>13</v>
      </c>
      <c r="F103" t="s">
        <v>548</v>
      </c>
      <c r="G103">
        <v>17.559999999999999</v>
      </c>
      <c r="I103" s="1" t="s">
        <v>331</v>
      </c>
      <c r="J103" s="1" t="s">
        <v>125</v>
      </c>
      <c r="K103" s="1" t="s">
        <v>305</v>
      </c>
      <c r="M103" t="s">
        <v>23</v>
      </c>
      <c r="N103" t="str">
        <f t="shared" si="3"/>
        <v>HIC</v>
      </c>
      <c r="O103">
        <f t="shared" si="5"/>
        <v>1</v>
      </c>
      <c r="P103">
        <f t="shared" si="5"/>
        <v>0</v>
      </c>
      <c r="Q103">
        <f t="shared" si="5"/>
        <v>0</v>
      </c>
    </row>
    <row r="104" spans="1:17" x14ac:dyDescent="0.25">
      <c r="A104" t="s">
        <v>23</v>
      </c>
      <c r="B104">
        <v>2022</v>
      </c>
      <c r="C104">
        <v>-10.533974259213677</v>
      </c>
      <c r="D104">
        <v>24.03</v>
      </c>
      <c r="E104">
        <v>13</v>
      </c>
      <c r="F104" t="s">
        <v>549</v>
      </c>
      <c r="G104">
        <v>18.760000000000002</v>
      </c>
      <c r="I104" s="1" t="s">
        <v>332</v>
      </c>
      <c r="J104" s="1" t="s">
        <v>128</v>
      </c>
      <c r="K104" s="1" t="s">
        <v>305</v>
      </c>
      <c r="M104" t="s">
        <v>23</v>
      </c>
      <c r="N104" t="str">
        <f t="shared" si="3"/>
        <v>HIC</v>
      </c>
      <c r="O104">
        <f t="shared" si="5"/>
        <v>1</v>
      </c>
      <c r="P104">
        <f t="shared" si="5"/>
        <v>0</v>
      </c>
      <c r="Q104">
        <f t="shared" si="5"/>
        <v>0</v>
      </c>
    </row>
    <row r="105" spans="1:17" x14ac:dyDescent="0.25">
      <c r="A105" t="s">
        <v>23</v>
      </c>
      <c r="B105">
        <v>2023</v>
      </c>
      <c r="C105">
        <v>-3.2225238855391498</v>
      </c>
      <c r="D105">
        <v>25.15</v>
      </c>
      <c r="E105">
        <v>13</v>
      </c>
      <c r="F105" t="s">
        <v>550</v>
      </c>
      <c r="G105">
        <v>18.54</v>
      </c>
      <c r="I105" s="1" t="s">
        <v>333</v>
      </c>
      <c r="J105" s="1" t="s">
        <v>130</v>
      </c>
      <c r="K105" s="1" t="s">
        <v>305</v>
      </c>
      <c r="M105" t="s">
        <v>23</v>
      </c>
      <c r="N105" t="str">
        <f t="shared" si="3"/>
        <v>HIC</v>
      </c>
      <c r="O105">
        <f t="shared" si="5"/>
        <v>1</v>
      </c>
      <c r="P105">
        <f t="shared" si="5"/>
        <v>0</v>
      </c>
      <c r="Q105">
        <f t="shared" si="5"/>
        <v>0</v>
      </c>
    </row>
    <row r="106" spans="1:17" x14ac:dyDescent="0.25">
      <c r="A106" t="s">
        <v>9</v>
      </c>
      <c r="B106">
        <v>2016</v>
      </c>
      <c r="C106">
        <v>-1.2905124972753914</v>
      </c>
      <c r="D106">
        <v>16.73</v>
      </c>
      <c r="E106">
        <v>14</v>
      </c>
      <c r="F106" t="s">
        <v>551</v>
      </c>
      <c r="G106">
        <v>11.54</v>
      </c>
      <c r="I106" s="1" t="s">
        <v>334</v>
      </c>
      <c r="J106" s="1" t="s">
        <v>134</v>
      </c>
      <c r="K106" s="1" t="s">
        <v>305</v>
      </c>
      <c r="M106" t="s">
        <v>9</v>
      </c>
      <c r="N106" t="str">
        <f t="shared" si="3"/>
        <v>HIC</v>
      </c>
      <c r="O106">
        <f t="shared" si="5"/>
        <v>1</v>
      </c>
      <c r="P106">
        <f t="shared" si="5"/>
        <v>0</v>
      </c>
      <c r="Q106">
        <f t="shared" si="5"/>
        <v>0</v>
      </c>
    </row>
    <row r="107" spans="1:17" x14ac:dyDescent="0.25">
      <c r="A107" t="s">
        <v>9</v>
      </c>
      <c r="B107">
        <v>2017</v>
      </c>
      <c r="C107">
        <v>-14.65304115426817</v>
      </c>
      <c r="D107">
        <v>16.86</v>
      </c>
      <c r="E107">
        <v>14</v>
      </c>
      <c r="F107" t="s">
        <v>552</v>
      </c>
      <c r="G107">
        <v>11.17</v>
      </c>
      <c r="I107" s="1" t="s">
        <v>335</v>
      </c>
      <c r="J107" s="1" t="s">
        <v>139</v>
      </c>
      <c r="K107" s="1" t="s">
        <v>305</v>
      </c>
      <c r="M107" t="s">
        <v>9</v>
      </c>
      <c r="N107" t="str">
        <f t="shared" si="3"/>
        <v>HIC</v>
      </c>
      <c r="O107">
        <f t="shared" si="5"/>
        <v>1</v>
      </c>
      <c r="P107">
        <f t="shared" si="5"/>
        <v>0</v>
      </c>
      <c r="Q107">
        <f t="shared" si="5"/>
        <v>0</v>
      </c>
    </row>
    <row r="108" spans="1:17" x14ac:dyDescent="0.25">
      <c r="A108" t="s">
        <v>9</v>
      </c>
      <c r="B108">
        <v>2018</v>
      </c>
      <c r="C108">
        <v>-0.12376402681199145</v>
      </c>
      <c r="D108">
        <v>16.38</v>
      </c>
      <c r="E108">
        <v>14</v>
      </c>
      <c r="F108" t="s">
        <v>553</v>
      </c>
      <c r="G108">
        <v>12.28</v>
      </c>
      <c r="I108" s="1" t="s">
        <v>336</v>
      </c>
      <c r="J108" s="1" t="s">
        <v>145</v>
      </c>
      <c r="K108" s="1" t="s">
        <v>305</v>
      </c>
      <c r="M108" t="s">
        <v>9</v>
      </c>
      <c r="N108" t="str">
        <f t="shared" si="3"/>
        <v>HIC</v>
      </c>
      <c r="O108">
        <f t="shared" si="5"/>
        <v>1</v>
      </c>
      <c r="P108">
        <f t="shared" si="5"/>
        <v>0</v>
      </c>
      <c r="Q108">
        <f t="shared" si="5"/>
        <v>0</v>
      </c>
    </row>
    <row r="109" spans="1:17" x14ac:dyDescent="0.25">
      <c r="A109" t="s">
        <v>9</v>
      </c>
      <c r="B109">
        <v>2019</v>
      </c>
      <c r="C109">
        <v>12.557799184388555</v>
      </c>
      <c r="D109">
        <v>16.12</v>
      </c>
      <c r="E109">
        <v>14</v>
      </c>
      <c r="F109" t="s">
        <v>554</v>
      </c>
      <c r="G109">
        <v>12.88</v>
      </c>
      <c r="I109" s="1" t="s">
        <v>337</v>
      </c>
      <c r="J109" s="1" t="s">
        <v>33</v>
      </c>
      <c r="K109" s="1" t="s">
        <v>305</v>
      </c>
      <c r="M109" t="s">
        <v>9</v>
      </c>
      <c r="N109" t="str">
        <f t="shared" si="3"/>
        <v>HIC</v>
      </c>
      <c r="O109">
        <f t="shared" si="5"/>
        <v>1</v>
      </c>
      <c r="P109">
        <f t="shared" si="5"/>
        <v>0</v>
      </c>
      <c r="Q109">
        <f t="shared" si="5"/>
        <v>0</v>
      </c>
    </row>
    <row r="110" spans="1:17" x14ac:dyDescent="0.25">
      <c r="A110" t="s">
        <v>9</v>
      </c>
      <c r="B110">
        <v>2020</v>
      </c>
      <c r="C110">
        <v>6.2354436242362272</v>
      </c>
      <c r="D110">
        <v>14.16</v>
      </c>
      <c r="E110">
        <v>14</v>
      </c>
      <c r="F110" t="s">
        <v>555</v>
      </c>
      <c r="G110">
        <v>13.05</v>
      </c>
      <c r="I110" s="1" t="s">
        <v>338</v>
      </c>
      <c r="J110" s="1" t="s">
        <v>146</v>
      </c>
      <c r="K110" s="1" t="s">
        <v>305</v>
      </c>
      <c r="M110" t="s">
        <v>9</v>
      </c>
      <c r="N110" t="str">
        <f t="shared" si="3"/>
        <v>HIC</v>
      </c>
      <c r="O110">
        <f t="shared" si="5"/>
        <v>1</v>
      </c>
      <c r="P110">
        <f t="shared" si="5"/>
        <v>0</v>
      </c>
      <c r="Q110">
        <f t="shared" si="5"/>
        <v>0</v>
      </c>
    </row>
    <row r="111" spans="1:17" x14ac:dyDescent="0.25">
      <c r="A111" t="s">
        <v>9</v>
      </c>
      <c r="B111">
        <v>2021</v>
      </c>
      <c r="C111">
        <v>14.693408078258837</v>
      </c>
      <c r="D111">
        <v>13.71</v>
      </c>
      <c r="E111">
        <v>14</v>
      </c>
      <c r="F111" t="s">
        <v>556</v>
      </c>
      <c r="G111">
        <v>11.36</v>
      </c>
      <c r="I111" s="1" t="s">
        <v>339</v>
      </c>
      <c r="J111" s="1" t="s">
        <v>148</v>
      </c>
      <c r="K111" s="1" t="s">
        <v>305</v>
      </c>
      <c r="M111" t="s">
        <v>9</v>
      </c>
      <c r="N111" t="str">
        <f t="shared" si="3"/>
        <v>HIC</v>
      </c>
      <c r="O111">
        <f t="shared" si="5"/>
        <v>1</v>
      </c>
      <c r="P111">
        <f t="shared" si="5"/>
        <v>0</v>
      </c>
      <c r="Q111">
        <f t="shared" si="5"/>
        <v>0</v>
      </c>
    </row>
    <row r="112" spans="1:17" x14ac:dyDescent="0.25">
      <c r="A112" t="s">
        <v>9</v>
      </c>
      <c r="B112">
        <v>2022</v>
      </c>
      <c r="C112">
        <v>-5.3809484863709107</v>
      </c>
      <c r="D112">
        <v>18.600000000000001</v>
      </c>
      <c r="E112">
        <v>14</v>
      </c>
      <c r="F112" t="s">
        <v>557</v>
      </c>
      <c r="G112">
        <v>12.05</v>
      </c>
      <c r="I112" s="1" t="s">
        <v>340</v>
      </c>
      <c r="J112" s="1" t="s">
        <v>149</v>
      </c>
      <c r="K112" s="1" t="s">
        <v>305</v>
      </c>
      <c r="M112" t="s">
        <v>9</v>
      </c>
      <c r="N112" t="str">
        <f t="shared" si="3"/>
        <v>HIC</v>
      </c>
      <c r="O112">
        <f t="shared" si="5"/>
        <v>1</v>
      </c>
      <c r="P112">
        <f t="shared" si="5"/>
        <v>0</v>
      </c>
      <c r="Q112">
        <f t="shared" si="5"/>
        <v>0</v>
      </c>
    </row>
    <row r="113" spans="1:17" x14ac:dyDescent="0.25">
      <c r="A113" t="s">
        <v>9</v>
      </c>
      <c r="B113">
        <v>2023</v>
      </c>
      <c r="C113">
        <v>-12.371450151368284</v>
      </c>
      <c r="D113">
        <v>18.920000000000002</v>
      </c>
      <c r="E113">
        <v>14</v>
      </c>
      <c r="F113" t="s">
        <v>558</v>
      </c>
      <c r="G113">
        <v>12.68</v>
      </c>
      <c r="I113" s="1" t="s">
        <v>341</v>
      </c>
      <c r="J113" s="1" t="s">
        <v>151</v>
      </c>
      <c r="K113" s="1" t="s">
        <v>305</v>
      </c>
      <c r="M113" t="s">
        <v>9</v>
      </c>
      <c r="N113" t="str">
        <f t="shared" si="3"/>
        <v>HIC</v>
      </c>
      <c r="O113">
        <f t="shared" si="5"/>
        <v>1</v>
      </c>
      <c r="P113">
        <f t="shared" si="5"/>
        <v>0</v>
      </c>
      <c r="Q113">
        <f t="shared" si="5"/>
        <v>0</v>
      </c>
    </row>
    <row r="114" spans="1:17" x14ac:dyDescent="0.25">
      <c r="A114" t="s">
        <v>5</v>
      </c>
      <c r="B114">
        <v>2016</v>
      </c>
      <c r="C114">
        <v>-8.6658167700063764</v>
      </c>
      <c r="D114">
        <v>13.64</v>
      </c>
      <c r="E114">
        <v>15</v>
      </c>
      <c r="F114" t="s">
        <v>559</v>
      </c>
      <c r="G114">
        <v>10.85</v>
      </c>
      <c r="I114" s="1" t="s">
        <v>342</v>
      </c>
      <c r="J114" s="1" t="s">
        <v>153</v>
      </c>
      <c r="K114" s="1" t="s">
        <v>305</v>
      </c>
      <c r="M114" t="s">
        <v>5</v>
      </c>
      <c r="N114" t="str">
        <f t="shared" si="3"/>
        <v>HIC</v>
      </c>
      <c r="O114">
        <f t="shared" si="5"/>
        <v>1</v>
      </c>
      <c r="P114">
        <f t="shared" si="5"/>
        <v>0</v>
      </c>
      <c r="Q114">
        <f t="shared" si="5"/>
        <v>0</v>
      </c>
    </row>
    <row r="115" spans="1:17" x14ac:dyDescent="0.25">
      <c r="A115" t="s">
        <v>5</v>
      </c>
      <c r="B115">
        <v>2017</v>
      </c>
      <c r="C115">
        <v>2.5204389926365134</v>
      </c>
      <c r="D115">
        <v>14.21</v>
      </c>
      <c r="E115">
        <v>15</v>
      </c>
      <c r="F115" t="s">
        <v>560</v>
      </c>
      <c r="G115">
        <v>10.52</v>
      </c>
      <c r="I115" s="1" t="s">
        <v>343</v>
      </c>
      <c r="J115" s="1" t="s">
        <v>26</v>
      </c>
      <c r="K115" s="1" t="s">
        <v>305</v>
      </c>
      <c r="M115" t="s">
        <v>5</v>
      </c>
      <c r="N115" t="str">
        <f t="shared" si="3"/>
        <v>HIC</v>
      </c>
      <c r="O115">
        <f t="shared" si="5"/>
        <v>1</v>
      </c>
      <c r="P115">
        <f t="shared" si="5"/>
        <v>0</v>
      </c>
      <c r="Q115">
        <f t="shared" si="5"/>
        <v>0</v>
      </c>
    </row>
    <row r="116" spans="1:17" x14ac:dyDescent="0.25">
      <c r="A116" t="s">
        <v>5</v>
      </c>
      <c r="B116">
        <v>2018</v>
      </c>
      <c r="C116">
        <v>2.6883184394880697</v>
      </c>
      <c r="D116">
        <v>14.03</v>
      </c>
      <c r="E116">
        <v>15</v>
      </c>
      <c r="F116" t="s">
        <v>561</v>
      </c>
      <c r="G116">
        <v>11.61</v>
      </c>
      <c r="I116" s="1" t="s">
        <v>344</v>
      </c>
      <c r="J116" s="1" t="s">
        <v>165</v>
      </c>
      <c r="K116" s="1" t="s">
        <v>305</v>
      </c>
      <c r="M116" t="s">
        <v>5</v>
      </c>
      <c r="N116" t="str">
        <f t="shared" si="3"/>
        <v>HIC</v>
      </c>
      <c r="O116">
        <f t="shared" si="5"/>
        <v>1</v>
      </c>
      <c r="P116">
        <f t="shared" si="5"/>
        <v>0</v>
      </c>
      <c r="Q116">
        <f t="shared" si="5"/>
        <v>0</v>
      </c>
    </row>
    <row r="117" spans="1:17" x14ac:dyDescent="0.25">
      <c r="A117" t="s">
        <v>5</v>
      </c>
      <c r="B117">
        <v>2019</v>
      </c>
      <c r="C117">
        <v>-26.639828363425984</v>
      </c>
      <c r="D117">
        <v>14.12</v>
      </c>
      <c r="E117">
        <v>15</v>
      </c>
      <c r="F117" t="s">
        <v>562</v>
      </c>
      <c r="G117">
        <v>12.14</v>
      </c>
      <c r="I117" s="1" t="s">
        <v>345</v>
      </c>
      <c r="J117" s="1" t="s">
        <v>171</v>
      </c>
      <c r="K117" s="1" t="s">
        <v>305</v>
      </c>
      <c r="M117" t="s">
        <v>5</v>
      </c>
      <c r="N117" t="str">
        <f t="shared" si="3"/>
        <v>HIC</v>
      </c>
      <c r="O117">
        <f t="shared" si="5"/>
        <v>1</v>
      </c>
      <c r="P117">
        <f t="shared" si="5"/>
        <v>0</v>
      </c>
      <c r="Q117">
        <f t="shared" si="5"/>
        <v>0</v>
      </c>
    </row>
    <row r="118" spans="1:17" x14ac:dyDescent="0.25">
      <c r="A118" t="s">
        <v>5</v>
      </c>
      <c r="B118">
        <v>2020</v>
      </c>
      <c r="C118">
        <v>17.87756309148266</v>
      </c>
      <c r="D118">
        <v>12.12</v>
      </c>
      <c r="E118">
        <v>15</v>
      </c>
      <c r="F118" t="s">
        <v>563</v>
      </c>
      <c r="G118">
        <v>12.41</v>
      </c>
      <c r="I118" s="1" t="s">
        <v>346</v>
      </c>
      <c r="J118" s="1" t="s">
        <v>38</v>
      </c>
      <c r="K118" s="1" t="s">
        <v>305</v>
      </c>
      <c r="M118" t="s">
        <v>5</v>
      </c>
      <c r="N118" t="str">
        <f t="shared" si="3"/>
        <v>HIC</v>
      </c>
      <c r="O118">
        <f t="shared" si="5"/>
        <v>1</v>
      </c>
      <c r="P118">
        <f t="shared" si="5"/>
        <v>0</v>
      </c>
      <c r="Q118">
        <f t="shared" si="5"/>
        <v>0</v>
      </c>
    </row>
    <row r="119" spans="1:17" x14ac:dyDescent="0.25">
      <c r="A119" t="s">
        <v>5</v>
      </c>
      <c r="B119">
        <v>2021</v>
      </c>
      <c r="C119">
        <v>25.639417381002151</v>
      </c>
      <c r="D119">
        <v>11.86</v>
      </c>
      <c r="E119">
        <v>15</v>
      </c>
      <c r="F119" t="s">
        <v>564</v>
      </c>
      <c r="G119">
        <v>10.79</v>
      </c>
      <c r="I119" s="1" t="s">
        <v>347</v>
      </c>
      <c r="J119" s="1" t="s">
        <v>176</v>
      </c>
      <c r="K119" s="1" t="s">
        <v>305</v>
      </c>
      <c r="M119" t="s">
        <v>5</v>
      </c>
      <c r="N119" t="str">
        <f t="shared" si="3"/>
        <v>HIC</v>
      </c>
      <c r="O119">
        <f t="shared" si="5"/>
        <v>1</v>
      </c>
      <c r="P119">
        <f t="shared" si="5"/>
        <v>0</v>
      </c>
      <c r="Q119">
        <f t="shared" si="5"/>
        <v>0</v>
      </c>
    </row>
    <row r="120" spans="1:17" x14ac:dyDescent="0.25">
      <c r="A120" t="s">
        <v>5</v>
      </c>
      <c r="B120">
        <v>2022</v>
      </c>
      <c r="C120">
        <v>-3.4934546261371215</v>
      </c>
      <c r="D120">
        <v>15.02</v>
      </c>
      <c r="E120">
        <v>15</v>
      </c>
      <c r="F120" t="s">
        <v>565</v>
      </c>
      <c r="G120">
        <v>11.49</v>
      </c>
      <c r="I120" s="1" t="s">
        <v>348</v>
      </c>
      <c r="J120" s="1" t="s">
        <v>180</v>
      </c>
      <c r="K120" s="1" t="s">
        <v>305</v>
      </c>
      <c r="M120" t="s">
        <v>5</v>
      </c>
      <c r="N120" t="str">
        <f t="shared" si="3"/>
        <v>HIC</v>
      </c>
      <c r="O120">
        <f t="shared" si="5"/>
        <v>1</v>
      </c>
      <c r="P120">
        <f t="shared" si="5"/>
        <v>0</v>
      </c>
      <c r="Q120">
        <f t="shared" si="5"/>
        <v>0</v>
      </c>
    </row>
    <row r="121" spans="1:17" x14ac:dyDescent="0.25">
      <c r="A121" t="s">
        <v>5</v>
      </c>
      <c r="B121">
        <v>2023</v>
      </c>
      <c r="C121">
        <v>-9.8688370061270732</v>
      </c>
      <c r="D121">
        <v>15.05</v>
      </c>
      <c r="E121">
        <v>15</v>
      </c>
      <c r="F121" t="s">
        <v>566</v>
      </c>
      <c r="G121">
        <v>11.9</v>
      </c>
      <c r="I121" s="1" t="s">
        <v>349</v>
      </c>
      <c r="J121" s="1" t="s">
        <v>188</v>
      </c>
      <c r="K121" s="1" t="s">
        <v>305</v>
      </c>
      <c r="M121" t="s">
        <v>5</v>
      </c>
      <c r="N121" t="str">
        <f t="shared" si="3"/>
        <v>HIC</v>
      </c>
      <c r="O121">
        <f t="shared" si="5"/>
        <v>1</v>
      </c>
      <c r="P121">
        <f t="shared" si="5"/>
        <v>0</v>
      </c>
      <c r="Q121">
        <f t="shared" si="5"/>
        <v>0</v>
      </c>
    </row>
    <row r="122" spans="1:17" x14ac:dyDescent="0.25">
      <c r="A122" t="s">
        <v>14</v>
      </c>
      <c r="B122">
        <v>2016</v>
      </c>
      <c r="C122">
        <v>26.44367592592592</v>
      </c>
      <c r="D122">
        <v>20.96</v>
      </c>
      <c r="E122">
        <v>16</v>
      </c>
      <c r="F122" t="s">
        <v>567</v>
      </c>
      <c r="G122">
        <v>23.48</v>
      </c>
      <c r="I122" s="1" t="s">
        <v>350</v>
      </c>
      <c r="J122" s="1" t="s">
        <v>192</v>
      </c>
      <c r="K122" s="1" t="s">
        <v>305</v>
      </c>
      <c r="M122" t="s">
        <v>14</v>
      </c>
      <c r="N122" t="str">
        <f t="shared" si="3"/>
        <v>HIC</v>
      </c>
      <c r="O122">
        <f t="shared" si="5"/>
        <v>1</v>
      </c>
      <c r="P122">
        <f t="shared" si="5"/>
        <v>0</v>
      </c>
      <c r="Q122">
        <f t="shared" si="5"/>
        <v>0</v>
      </c>
    </row>
    <row r="123" spans="1:17" x14ac:dyDescent="0.25">
      <c r="A123" t="s">
        <v>14</v>
      </c>
      <c r="B123">
        <v>2017</v>
      </c>
      <c r="C123">
        <v>15.120039174227559</v>
      </c>
      <c r="D123">
        <v>22.56</v>
      </c>
      <c r="E123">
        <v>16</v>
      </c>
      <c r="F123" t="s">
        <v>568</v>
      </c>
      <c r="G123">
        <v>23.26</v>
      </c>
      <c r="I123" s="1" t="s">
        <v>351</v>
      </c>
      <c r="J123" s="1" t="s">
        <v>194</v>
      </c>
      <c r="K123" s="1" t="s">
        <v>305</v>
      </c>
      <c r="M123" t="s">
        <v>14</v>
      </c>
      <c r="N123" t="str">
        <f t="shared" si="3"/>
        <v>HIC</v>
      </c>
      <c r="O123">
        <f t="shared" si="5"/>
        <v>1</v>
      </c>
      <c r="P123">
        <f t="shared" si="5"/>
        <v>0</v>
      </c>
      <c r="Q123">
        <f t="shared" si="5"/>
        <v>0</v>
      </c>
    </row>
    <row r="124" spans="1:17" x14ac:dyDescent="0.25">
      <c r="A124" t="s">
        <v>14</v>
      </c>
      <c r="B124">
        <v>2018</v>
      </c>
      <c r="C124">
        <v>22.713229572454708</v>
      </c>
      <c r="D124">
        <v>21.4</v>
      </c>
      <c r="E124">
        <v>16</v>
      </c>
      <c r="F124" t="s">
        <v>569</v>
      </c>
      <c r="G124">
        <v>23.11</v>
      </c>
      <c r="I124" s="1" t="s">
        <v>352</v>
      </c>
      <c r="J124" s="1" t="s">
        <v>196</v>
      </c>
      <c r="K124" s="1" t="s">
        <v>305</v>
      </c>
      <c r="M124" t="s">
        <v>14</v>
      </c>
      <c r="N124" t="str">
        <f t="shared" si="3"/>
        <v>HIC</v>
      </c>
      <c r="O124">
        <f t="shared" si="5"/>
        <v>1</v>
      </c>
      <c r="P124">
        <f t="shared" si="5"/>
        <v>0</v>
      </c>
      <c r="Q124">
        <f t="shared" si="5"/>
        <v>0</v>
      </c>
    </row>
    <row r="125" spans="1:17" x14ac:dyDescent="0.25">
      <c r="A125" t="s">
        <v>14</v>
      </c>
      <c r="B125">
        <v>2019</v>
      </c>
      <c r="C125">
        <v>-28.342583149205286</v>
      </c>
      <c r="D125">
        <v>22.03</v>
      </c>
      <c r="E125">
        <v>16</v>
      </c>
      <c r="F125" t="s">
        <v>570</v>
      </c>
      <c r="G125">
        <v>23.03</v>
      </c>
      <c r="I125" s="1" t="s">
        <v>353</v>
      </c>
      <c r="J125" s="1" t="s">
        <v>198</v>
      </c>
      <c r="K125" s="1" t="s">
        <v>305</v>
      </c>
      <c r="M125" t="s">
        <v>14</v>
      </c>
      <c r="N125" t="str">
        <f t="shared" si="3"/>
        <v>HIC</v>
      </c>
      <c r="O125">
        <f t="shared" si="5"/>
        <v>1</v>
      </c>
      <c r="P125">
        <f t="shared" si="5"/>
        <v>0</v>
      </c>
      <c r="Q125">
        <f t="shared" si="5"/>
        <v>0</v>
      </c>
    </row>
    <row r="126" spans="1:17" x14ac:dyDescent="0.25">
      <c r="A126" t="s">
        <v>14</v>
      </c>
      <c r="B126">
        <v>2020</v>
      </c>
      <c r="C126">
        <v>43.445818164035828</v>
      </c>
      <c r="D126">
        <v>17.809999999999999</v>
      </c>
      <c r="E126">
        <v>16</v>
      </c>
      <c r="F126" t="s">
        <v>571</v>
      </c>
      <c r="G126">
        <v>23.29</v>
      </c>
      <c r="I126" s="1" t="s">
        <v>354</v>
      </c>
      <c r="J126" s="1" t="s">
        <v>200</v>
      </c>
      <c r="K126" s="1" t="s">
        <v>305</v>
      </c>
      <c r="M126" t="s">
        <v>14</v>
      </c>
      <c r="N126" t="str">
        <f t="shared" si="3"/>
        <v>HIC</v>
      </c>
      <c r="O126">
        <f t="shared" si="5"/>
        <v>1</v>
      </c>
      <c r="P126">
        <f t="shared" si="5"/>
        <v>0</v>
      </c>
      <c r="Q126">
        <f t="shared" si="5"/>
        <v>0</v>
      </c>
    </row>
    <row r="127" spans="1:17" x14ac:dyDescent="0.25">
      <c r="A127" t="s">
        <v>14</v>
      </c>
      <c r="B127">
        <v>2021</v>
      </c>
      <c r="C127">
        <v>-17.243346422740117</v>
      </c>
      <c r="D127">
        <v>16.84</v>
      </c>
      <c r="E127">
        <v>16</v>
      </c>
      <c r="F127" t="s">
        <v>572</v>
      </c>
      <c r="G127">
        <v>23.41</v>
      </c>
      <c r="I127" s="1" t="s">
        <v>355</v>
      </c>
      <c r="J127" s="1" t="s">
        <v>203</v>
      </c>
      <c r="K127" s="1" t="s">
        <v>305</v>
      </c>
      <c r="M127" t="s">
        <v>14</v>
      </c>
      <c r="N127" t="str">
        <f t="shared" si="3"/>
        <v>HIC</v>
      </c>
      <c r="O127">
        <f t="shared" si="5"/>
        <v>1</v>
      </c>
      <c r="P127">
        <f t="shared" si="5"/>
        <v>0</v>
      </c>
      <c r="Q127">
        <f t="shared" si="5"/>
        <v>0</v>
      </c>
    </row>
    <row r="128" spans="1:17" x14ac:dyDescent="0.25">
      <c r="A128" t="s">
        <v>14</v>
      </c>
      <c r="B128">
        <v>2022</v>
      </c>
      <c r="C128">
        <v>9.9955284039583141</v>
      </c>
      <c r="D128">
        <v>25.39</v>
      </c>
      <c r="E128">
        <v>16</v>
      </c>
      <c r="F128" t="s">
        <v>573</v>
      </c>
      <c r="G128">
        <v>23.74</v>
      </c>
      <c r="I128" s="1" t="s">
        <v>356</v>
      </c>
      <c r="J128" s="1" t="s">
        <v>204</v>
      </c>
      <c r="K128" s="1" t="s">
        <v>305</v>
      </c>
      <c r="M128" t="s">
        <v>14</v>
      </c>
      <c r="N128" t="str">
        <f t="shared" si="3"/>
        <v>HIC</v>
      </c>
      <c r="O128">
        <f t="shared" si="5"/>
        <v>1</v>
      </c>
      <c r="P128">
        <f t="shared" si="5"/>
        <v>0</v>
      </c>
      <c r="Q128">
        <f t="shared" si="5"/>
        <v>0</v>
      </c>
    </row>
    <row r="129" spans="1:17" x14ac:dyDescent="0.25">
      <c r="A129" t="s">
        <v>14</v>
      </c>
      <c r="B129">
        <v>2023</v>
      </c>
      <c r="C129">
        <v>15.416464849055206</v>
      </c>
      <c r="D129">
        <v>24.85</v>
      </c>
      <c r="E129">
        <v>16</v>
      </c>
      <c r="F129" t="s">
        <v>574</v>
      </c>
      <c r="G129">
        <v>23.73</v>
      </c>
      <c r="I129" s="1" t="s">
        <v>357</v>
      </c>
      <c r="J129" s="1" t="s">
        <v>206</v>
      </c>
      <c r="K129" s="1" t="s">
        <v>305</v>
      </c>
      <c r="M129" t="s">
        <v>14</v>
      </c>
      <c r="N129" t="str">
        <f t="shared" si="3"/>
        <v>HIC</v>
      </c>
      <c r="O129">
        <f t="shared" si="5"/>
        <v>1</v>
      </c>
      <c r="P129">
        <f t="shared" si="5"/>
        <v>0</v>
      </c>
      <c r="Q129">
        <f t="shared" si="5"/>
        <v>0</v>
      </c>
    </row>
    <row r="130" spans="1:17" x14ac:dyDescent="0.25">
      <c r="A130" t="s">
        <v>26</v>
      </c>
      <c r="B130">
        <v>2016</v>
      </c>
      <c r="C130">
        <v>14.268142681426815</v>
      </c>
      <c r="D130">
        <v>28.93</v>
      </c>
      <c r="E130">
        <v>17</v>
      </c>
      <c r="F130" t="s">
        <v>575</v>
      </c>
      <c r="G130">
        <v>14.7</v>
      </c>
      <c r="I130" s="1" t="s">
        <v>358</v>
      </c>
      <c r="J130" s="1" t="s">
        <v>29</v>
      </c>
      <c r="K130" s="1" t="s">
        <v>305</v>
      </c>
      <c r="M130" t="s">
        <v>26</v>
      </c>
      <c r="N130" t="str">
        <f t="shared" si="3"/>
        <v>UMIC</v>
      </c>
      <c r="O130">
        <f t="shared" si="5"/>
        <v>0</v>
      </c>
      <c r="P130">
        <f t="shared" si="5"/>
        <v>1</v>
      </c>
      <c r="Q130">
        <f t="shared" si="5"/>
        <v>0</v>
      </c>
    </row>
    <row r="131" spans="1:17" x14ac:dyDescent="0.25">
      <c r="A131" t="s">
        <v>26</v>
      </c>
      <c r="B131">
        <v>2017</v>
      </c>
      <c r="C131">
        <v>10.010764262648008</v>
      </c>
      <c r="D131">
        <v>27.21</v>
      </c>
      <c r="E131">
        <v>17</v>
      </c>
      <c r="F131" t="s">
        <v>576</v>
      </c>
      <c r="G131">
        <v>14.9</v>
      </c>
      <c r="I131" s="1" t="s">
        <v>359</v>
      </c>
      <c r="J131" s="1" t="s">
        <v>59</v>
      </c>
      <c r="K131" s="1" t="s">
        <v>360</v>
      </c>
      <c r="M131" t="s">
        <v>26</v>
      </c>
      <c r="N131" t="str">
        <f t="shared" ref="N131:N194" si="6">VLOOKUP(M131,J:K,2,FALSE)</f>
        <v>UMIC</v>
      </c>
      <c r="O131">
        <f t="shared" ref="O131:Q162" si="7">IF($N131=O$1,1,0)</f>
        <v>0</v>
      </c>
      <c r="P131">
        <f t="shared" si="7"/>
        <v>1</v>
      </c>
      <c r="Q131">
        <f t="shared" si="7"/>
        <v>0</v>
      </c>
    </row>
    <row r="132" spans="1:17" x14ac:dyDescent="0.25">
      <c r="A132" t="s">
        <v>26</v>
      </c>
      <c r="B132">
        <v>2018</v>
      </c>
      <c r="C132">
        <v>7.3385518590998036</v>
      </c>
      <c r="D132">
        <v>27.11</v>
      </c>
      <c r="E132">
        <v>17</v>
      </c>
      <c r="F132" t="s">
        <v>577</v>
      </c>
      <c r="G132">
        <v>15.33</v>
      </c>
      <c r="I132" s="1" t="s">
        <v>361</v>
      </c>
      <c r="J132" s="1" t="s">
        <v>60</v>
      </c>
      <c r="K132" s="1" t="s">
        <v>360</v>
      </c>
      <c r="M132" t="s">
        <v>26</v>
      </c>
      <c r="N132" t="str">
        <f t="shared" si="6"/>
        <v>UMIC</v>
      </c>
      <c r="O132">
        <f t="shared" si="7"/>
        <v>0</v>
      </c>
      <c r="P132">
        <f t="shared" si="7"/>
        <v>1</v>
      </c>
      <c r="Q132">
        <f t="shared" si="7"/>
        <v>0</v>
      </c>
    </row>
    <row r="133" spans="1:17" x14ac:dyDescent="0.25">
      <c r="A133" t="s">
        <v>26</v>
      </c>
      <c r="B133">
        <v>2019</v>
      </c>
      <c r="C133">
        <v>-2.096627164995442</v>
      </c>
      <c r="D133">
        <v>27.24</v>
      </c>
      <c r="E133">
        <v>17</v>
      </c>
      <c r="F133" t="s">
        <v>578</v>
      </c>
      <c r="G133">
        <v>15.53</v>
      </c>
      <c r="I133" s="1" t="s">
        <v>362</v>
      </c>
      <c r="J133" s="1" t="s">
        <v>63</v>
      </c>
      <c r="K133" s="1" t="s">
        <v>360</v>
      </c>
      <c r="M133" t="s">
        <v>26</v>
      </c>
      <c r="N133" t="str">
        <f t="shared" si="6"/>
        <v>UMIC</v>
      </c>
      <c r="O133">
        <f t="shared" si="7"/>
        <v>0</v>
      </c>
      <c r="P133">
        <f t="shared" si="7"/>
        <v>1</v>
      </c>
      <c r="Q133">
        <f t="shared" si="7"/>
        <v>0</v>
      </c>
    </row>
    <row r="134" spans="1:17" x14ac:dyDescent="0.25">
      <c r="A134" t="s">
        <v>26</v>
      </c>
      <c r="B134">
        <v>2020</v>
      </c>
      <c r="C134">
        <v>-17.597765363128492</v>
      </c>
      <c r="D134">
        <v>28.13</v>
      </c>
      <c r="E134">
        <v>17</v>
      </c>
      <c r="F134" t="s">
        <v>579</v>
      </c>
      <c r="G134">
        <v>15.19</v>
      </c>
      <c r="I134" s="1" t="s">
        <v>363</v>
      </c>
      <c r="J134" s="1" t="s">
        <v>65</v>
      </c>
      <c r="K134" s="1" t="s">
        <v>360</v>
      </c>
      <c r="M134" t="s">
        <v>26</v>
      </c>
      <c r="N134" t="str">
        <f t="shared" si="6"/>
        <v>UMIC</v>
      </c>
      <c r="O134">
        <f t="shared" si="7"/>
        <v>0</v>
      </c>
      <c r="P134">
        <f t="shared" si="7"/>
        <v>1</v>
      </c>
      <c r="Q134">
        <f t="shared" si="7"/>
        <v>0</v>
      </c>
    </row>
    <row r="135" spans="1:17" x14ac:dyDescent="0.25">
      <c r="A135" t="s">
        <v>26</v>
      </c>
      <c r="B135">
        <v>2021</v>
      </c>
      <c r="C135">
        <v>-3.050847457627119</v>
      </c>
      <c r="D135">
        <v>32.19</v>
      </c>
      <c r="E135">
        <v>17</v>
      </c>
      <c r="F135" t="s">
        <v>580</v>
      </c>
      <c r="G135">
        <v>14.47</v>
      </c>
      <c r="I135" s="1" t="s">
        <v>364</v>
      </c>
      <c r="J135" s="1" t="s">
        <v>66</v>
      </c>
      <c r="K135" s="1" t="s">
        <v>360</v>
      </c>
      <c r="M135" t="s">
        <v>26</v>
      </c>
      <c r="N135" t="str">
        <f t="shared" si="6"/>
        <v>UMIC</v>
      </c>
      <c r="O135">
        <f t="shared" si="7"/>
        <v>0</v>
      </c>
      <c r="P135">
        <f t="shared" si="7"/>
        <v>1</v>
      </c>
      <c r="Q135">
        <f t="shared" si="7"/>
        <v>0</v>
      </c>
    </row>
    <row r="136" spans="1:17" x14ac:dyDescent="0.25">
      <c r="A136" t="s">
        <v>26</v>
      </c>
      <c r="B136">
        <v>2022</v>
      </c>
      <c r="C136">
        <v>26.689976689976692</v>
      </c>
      <c r="D136">
        <v>32.630000000000003</v>
      </c>
      <c r="E136">
        <v>17</v>
      </c>
      <c r="F136" t="s">
        <v>581</v>
      </c>
      <c r="G136">
        <v>15.5</v>
      </c>
      <c r="I136" s="1" t="s">
        <v>365</v>
      </c>
      <c r="J136" s="1" t="s">
        <v>37</v>
      </c>
      <c r="K136" s="1" t="s">
        <v>360</v>
      </c>
      <c r="M136" t="s">
        <v>26</v>
      </c>
      <c r="N136" t="str">
        <f t="shared" si="6"/>
        <v>UMIC</v>
      </c>
      <c r="O136">
        <f t="shared" si="7"/>
        <v>0</v>
      </c>
      <c r="P136">
        <f t="shared" si="7"/>
        <v>1</v>
      </c>
      <c r="Q136">
        <f t="shared" si="7"/>
        <v>0</v>
      </c>
    </row>
    <row r="137" spans="1:17" x14ac:dyDescent="0.25">
      <c r="A137" t="s">
        <v>26</v>
      </c>
      <c r="B137">
        <v>2023</v>
      </c>
      <c r="C137">
        <v>25.482980680772769</v>
      </c>
      <c r="D137">
        <v>31.68</v>
      </c>
      <c r="E137">
        <v>17</v>
      </c>
      <c r="F137" t="s">
        <v>582</v>
      </c>
      <c r="G137">
        <v>15.68</v>
      </c>
      <c r="I137" s="1" t="s">
        <v>366</v>
      </c>
      <c r="J137" s="1" t="s">
        <v>68</v>
      </c>
      <c r="K137" s="1" t="s">
        <v>360</v>
      </c>
      <c r="M137" t="s">
        <v>26</v>
      </c>
      <c r="N137" t="str">
        <f t="shared" si="6"/>
        <v>UMIC</v>
      </c>
      <c r="O137">
        <f t="shared" si="7"/>
        <v>0</v>
      </c>
      <c r="P137">
        <f t="shared" si="7"/>
        <v>1</v>
      </c>
      <c r="Q137">
        <f t="shared" si="7"/>
        <v>0</v>
      </c>
    </row>
    <row r="138" spans="1:17" x14ac:dyDescent="0.25">
      <c r="A138" t="s">
        <v>3</v>
      </c>
      <c r="B138">
        <v>2016</v>
      </c>
      <c r="C138">
        <v>-3.9593217145758959</v>
      </c>
      <c r="D138">
        <v>12.81</v>
      </c>
      <c r="E138">
        <v>18</v>
      </c>
      <c r="F138" t="s">
        <v>583</v>
      </c>
      <c r="G138">
        <v>5.88</v>
      </c>
      <c r="I138" s="1" t="s">
        <v>367</v>
      </c>
      <c r="J138" s="1" t="s">
        <v>69</v>
      </c>
      <c r="K138" s="1" t="s">
        <v>360</v>
      </c>
      <c r="M138" t="s">
        <v>3</v>
      </c>
      <c r="N138" t="str">
        <f t="shared" si="6"/>
        <v>HIC</v>
      </c>
      <c r="O138">
        <f t="shared" si="7"/>
        <v>1</v>
      </c>
      <c r="P138">
        <f t="shared" si="7"/>
        <v>0</v>
      </c>
      <c r="Q138">
        <f t="shared" si="7"/>
        <v>0</v>
      </c>
    </row>
    <row r="139" spans="1:17" x14ac:dyDescent="0.25">
      <c r="A139" t="s">
        <v>3</v>
      </c>
      <c r="B139">
        <v>2017</v>
      </c>
      <c r="C139">
        <v>-1.3257558055127963</v>
      </c>
      <c r="D139">
        <v>12.26</v>
      </c>
      <c r="E139">
        <v>18</v>
      </c>
      <c r="F139" t="s">
        <v>584</v>
      </c>
      <c r="G139">
        <v>5.5599999999999898</v>
      </c>
      <c r="I139" s="1" t="s">
        <v>368</v>
      </c>
      <c r="J139" s="1" t="s">
        <v>70</v>
      </c>
      <c r="K139" s="1" t="s">
        <v>360</v>
      </c>
      <c r="M139" t="s">
        <v>3</v>
      </c>
      <c r="N139" t="str">
        <f t="shared" si="6"/>
        <v>HIC</v>
      </c>
      <c r="O139">
        <f t="shared" si="7"/>
        <v>1</v>
      </c>
      <c r="P139">
        <f t="shared" si="7"/>
        <v>0</v>
      </c>
      <c r="Q139">
        <f t="shared" si="7"/>
        <v>0</v>
      </c>
    </row>
    <row r="140" spans="1:17" x14ac:dyDescent="0.25">
      <c r="A140" t="s">
        <v>3</v>
      </c>
      <c r="B140">
        <v>2018</v>
      </c>
      <c r="C140">
        <v>3.5520256533311456</v>
      </c>
      <c r="D140">
        <v>11.76</v>
      </c>
      <c r="E140">
        <v>18</v>
      </c>
      <c r="F140" t="s">
        <v>585</v>
      </c>
      <c r="G140">
        <v>6.2</v>
      </c>
      <c r="I140" s="1" t="s">
        <v>369</v>
      </c>
      <c r="J140" s="1" t="s">
        <v>21</v>
      </c>
      <c r="K140" s="1" t="s">
        <v>360</v>
      </c>
      <c r="M140" t="s">
        <v>3</v>
      </c>
      <c r="N140" t="str">
        <f t="shared" si="6"/>
        <v>HIC</v>
      </c>
      <c r="O140">
        <f t="shared" si="7"/>
        <v>1</v>
      </c>
      <c r="P140">
        <f t="shared" si="7"/>
        <v>0</v>
      </c>
      <c r="Q140">
        <f t="shared" si="7"/>
        <v>0</v>
      </c>
    </row>
    <row r="141" spans="1:17" x14ac:dyDescent="0.25">
      <c r="A141" t="s">
        <v>3</v>
      </c>
      <c r="B141">
        <v>2019</v>
      </c>
      <c r="C141">
        <v>7.2263575361179164</v>
      </c>
      <c r="D141">
        <v>12.06</v>
      </c>
      <c r="E141">
        <v>18</v>
      </c>
      <c r="F141" t="s">
        <v>586</v>
      </c>
      <c r="G141">
        <v>5.71</v>
      </c>
      <c r="I141" s="1" t="s">
        <v>370</v>
      </c>
      <c r="J141" s="1" t="s">
        <v>72</v>
      </c>
      <c r="K141" s="1" t="s">
        <v>360</v>
      </c>
      <c r="M141" t="s">
        <v>3</v>
      </c>
      <c r="N141" t="str">
        <f t="shared" si="6"/>
        <v>HIC</v>
      </c>
      <c r="O141">
        <f t="shared" si="7"/>
        <v>1</v>
      </c>
      <c r="P141">
        <f t="shared" si="7"/>
        <v>0</v>
      </c>
      <c r="Q141">
        <f t="shared" si="7"/>
        <v>0</v>
      </c>
    </row>
    <row r="142" spans="1:17" x14ac:dyDescent="0.25">
      <c r="A142" t="s">
        <v>3</v>
      </c>
      <c r="B142">
        <v>2020</v>
      </c>
      <c r="C142">
        <v>2.571821743520573</v>
      </c>
      <c r="D142">
        <v>10.54</v>
      </c>
      <c r="E142">
        <v>18</v>
      </c>
      <c r="F142" t="s">
        <v>587</v>
      </c>
      <c r="G142">
        <v>6.82</v>
      </c>
      <c r="I142" s="1" t="s">
        <v>371</v>
      </c>
      <c r="J142" s="1" t="s">
        <v>78</v>
      </c>
      <c r="K142" s="1" t="s">
        <v>360</v>
      </c>
      <c r="M142" t="s">
        <v>3</v>
      </c>
      <c r="N142" t="str">
        <f t="shared" si="6"/>
        <v>HIC</v>
      </c>
      <c r="O142">
        <f t="shared" si="7"/>
        <v>1</v>
      </c>
      <c r="P142">
        <f t="shared" si="7"/>
        <v>0</v>
      </c>
      <c r="Q142">
        <f t="shared" si="7"/>
        <v>0</v>
      </c>
    </row>
    <row r="143" spans="1:17" x14ac:dyDescent="0.25">
      <c r="A143" t="s">
        <v>3</v>
      </c>
      <c r="B143">
        <v>2021</v>
      </c>
      <c r="C143">
        <v>11.721590924206469</v>
      </c>
      <c r="D143">
        <v>10.54</v>
      </c>
      <c r="E143">
        <v>18</v>
      </c>
      <c r="F143" t="s">
        <v>588</v>
      </c>
      <c r="G143">
        <v>5.51</v>
      </c>
      <c r="I143" s="1" t="s">
        <v>372</v>
      </c>
      <c r="J143" s="1" t="s">
        <v>55</v>
      </c>
      <c r="K143" s="1" t="s">
        <v>360</v>
      </c>
      <c r="M143" t="s">
        <v>3</v>
      </c>
      <c r="N143" t="str">
        <f t="shared" si="6"/>
        <v>HIC</v>
      </c>
      <c r="O143">
        <f t="shared" si="7"/>
        <v>1</v>
      </c>
      <c r="P143">
        <f t="shared" si="7"/>
        <v>0</v>
      </c>
      <c r="Q143">
        <f t="shared" si="7"/>
        <v>0</v>
      </c>
    </row>
    <row r="144" spans="1:17" x14ac:dyDescent="0.25">
      <c r="A144" t="s">
        <v>3</v>
      </c>
      <c r="B144">
        <v>2022</v>
      </c>
      <c r="C144">
        <v>-0.20248943631449703</v>
      </c>
      <c r="D144">
        <v>11.77</v>
      </c>
      <c r="E144">
        <v>18</v>
      </c>
      <c r="F144" t="s">
        <v>589</v>
      </c>
      <c r="G144">
        <v>6.32</v>
      </c>
      <c r="I144" s="1" t="s">
        <v>373</v>
      </c>
      <c r="J144" s="1" t="s">
        <v>79</v>
      </c>
      <c r="K144" s="1" t="s">
        <v>360</v>
      </c>
      <c r="M144" t="s">
        <v>3</v>
      </c>
      <c r="N144" t="str">
        <f t="shared" si="6"/>
        <v>HIC</v>
      </c>
      <c r="O144">
        <f t="shared" si="7"/>
        <v>1</v>
      </c>
      <c r="P144">
        <f t="shared" si="7"/>
        <v>0</v>
      </c>
      <c r="Q144">
        <f t="shared" si="7"/>
        <v>0</v>
      </c>
    </row>
    <row r="145" spans="1:17" x14ac:dyDescent="0.25">
      <c r="A145" t="s">
        <v>3</v>
      </c>
      <c r="B145">
        <v>2023</v>
      </c>
      <c r="C145">
        <v>-0.70746262160380602</v>
      </c>
      <c r="D145">
        <v>11.93</v>
      </c>
      <c r="E145">
        <v>18</v>
      </c>
      <c r="F145" t="s">
        <v>590</v>
      </c>
      <c r="G145">
        <v>5.77</v>
      </c>
      <c r="I145" s="1" t="s">
        <v>374</v>
      </c>
      <c r="J145" s="1" t="s">
        <v>49</v>
      </c>
      <c r="K145" s="1" t="s">
        <v>360</v>
      </c>
      <c r="M145" t="s">
        <v>3</v>
      </c>
      <c r="N145" t="str">
        <f t="shared" si="6"/>
        <v>HIC</v>
      </c>
      <c r="O145">
        <f t="shared" si="7"/>
        <v>1</v>
      </c>
      <c r="P145">
        <f t="shared" si="7"/>
        <v>0</v>
      </c>
      <c r="Q145">
        <f t="shared" si="7"/>
        <v>0</v>
      </c>
    </row>
    <row r="146" spans="1:17" x14ac:dyDescent="0.25">
      <c r="A146" t="s">
        <v>27</v>
      </c>
      <c r="B146">
        <v>2016</v>
      </c>
      <c r="C146">
        <v>2.1729166666666666</v>
      </c>
      <c r="D146">
        <v>40.51</v>
      </c>
      <c r="E146">
        <v>19</v>
      </c>
      <c r="F146" t="s">
        <v>591</v>
      </c>
      <c r="G146">
        <v>21.02</v>
      </c>
      <c r="I146" s="1" t="s">
        <v>375</v>
      </c>
      <c r="J146" s="1" t="s">
        <v>85</v>
      </c>
      <c r="K146" s="1" t="s">
        <v>360</v>
      </c>
      <c r="M146" t="s">
        <v>27</v>
      </c>
      <c r="N146" t="str">
        <f t="shared" si="6"/>
        <v>LMIC</v>
      </c>
      <c r="O146">
        <f t="shared" si="7"/>
        <v>0</v>
      </c>
      <c r="P146">
        <f t="shared" si="7"/>
        <v>0</v>
      </c>
      <c r="Q146">
        <f t="shared" si="7"/>
        <v>1</v>
      </c>
    </row>
    <row r="147" spans="1:17" x14ac:dyDescent="0.25">
      <c r="A147" t="s">
        <v>27</v>
      </c>
      <c r="B147">
        <v>2017</v>
      </c>
      <c r="C147">
        <v>14.505841812287173</v>
      </c>
      <c r="D147">
        <v>50.51</v>
      </c>
      <c r="E147">
        <v>19</v>
      </c>
      <c r="F147" t="s">
        <v>592</v>
      </c>
      <c r="G147">
        <v>20.64</v>
      </c>
      <c r="I147" s="1" t="s">
        <v>376</v>
      </c>
      <c r="J147" s="1" t="s">
        <v>88</v>
      </c>
      <c r="K147" s="1" t="s">
        <v>360</v>
      </c>
      <c r="M147" t="s">
        <v>27</v>
      </c>
      <c r="N147" t="str">
        <f t="shared" si="6"/>
        <v>LMIC</v>
      </c>
      <c r="O147">
        <f t="shared" si="7"/>
        <v>0</v>
      </c>
      <c r="P147">
        <f t="shared" si="7"/>
        <v>0</v>
      </c>
      <c r="Q147">
        <f t="shared" si="7"/>
        <v>1</v>
      </c>
    </row>
    <row r="148" spans="1:17" x14ac:dyDescent="0.25">
      <c r="A148" t="s">
        <v>27</v>
      </c>
      <c r="B148">
        <v>2018</v>
      </c>
      <c r="C148">
        <v>17.285258676106853</v>
      </c>
      <c r="D148">
        <v>48.15</v>
      </c>
      <c r="E148">
        <v>19</v>
      </c>
      <c r="F148" t="s">
        <v>593</v>
      </c>
      <c r="G148">
        <v>20.46</v>
      </c>
      <c r="I148" s="1" t="s">
        <v>377</v>
      </c>
      <c r="J148" s="1" t="s">
        <v>89</v>
      </c>
      <c r="K148" s="1" t="s">
        <v>360</v>
      </c>
      <c r="M148" t="s">
        <v>27</v>
      </c>
      <c r="N148" t="str">
        <f t="shared" si="6"/>
        <v>LMIC</v>
      </c>
      <c r="O148">
        <f t="shared" si="7"/>
        <v>0</v>
      </c>
      <c r="P148">
        <f t="shared" si="7"/>
        <v>0</v>
      </c>
      <c r="Q148">
        <f t="shared" si="7"/>
        <v>1</v>
      </c>
    </row>
    <row r="149" spans="1:17" x14ac:dyDescent="0.25">
      <c r="A149" t="s">
        <v>27</v>
      </c>
      <c r="B149">
        <v>2019</v>
      </c>
      <c r="C149">
        <v>8.1804931373739826</v>
      </c>
      <c r="D149">
        <v>56.27</v>
      </c>
      <c r="E149">
        <v>19</v>
      </c>
      <c r="F149" t="s">
        <v>594</v>
      </c>
      <c r="G149">
        <v>20.14</v>
      </c>
      <c r="I149" s="1" t="s">
        <v>378</v>
      </c>
      <c r="J149" s="1" t="s">
        <v>94</v>
      </c>
      <c r="K149" s="1" t="s">
        <v>360</v>
      </c>
      <c r="M149" t="s">
        <v>27</v>
      </c>
      <c r="N149" t="str">
        <f t="shared" si="6"/>
        <v>LMIC</v>
      </c>
      <c r="O149">
        <f t="shared" si="7"/>
        <v>0</v>
      </c>
      <c r="P149">
        <f t="shared" si="7"/>
        <v>0</v>
      </c>
      <c r="Q149">
        <f t="shared" si="7"/>
        <v>1</v>
      </c>
    </row>
    <row r="150" spans="1:17" x14ac:dyDescent="0.25">
      <c r="A150" t="s">
        <v>27</v>
      </c>
      <c r="B150">
        <v>2020</v>
      </c>
      <c r="C150">
        <v>7.8173244259810248</v>
      </c>
      <c r="D150">
        <v>49.5</v>
      </c>
      <c r="E150">
        <v>19</v>
      </c>
      <c r="F150" t="s">
        <v>595</v>
      </c>
      <c r="G150">
        <v>19.989999999999998</v>
      </c>
      <c r="I150" s="1" t="s">
        <v>379</v>
      </c>
      <c r="J150" s="1" t="s">
        <v>13</v>
      </c>
      <c r="K150" s="1" t="s">
        <v>360</v>
      </c>
      <c r="M150" t="s">
        <v>27</v>
      </c>
      <c r="N150" t="str">
        <f t="shared" si="6"/>
        <v>LMIC</v>
      </c>
      <c r="O150">
        <f t="shared" si="7"/>
        <v>0</v>
      </c>
      <c r="P150">
        <f t="shared" si="7"/>
        <v>0</v>
      </c>
      <c r="Q150">
        <f t="shared" si="7"/>
        <v>1</v>
      </c>
    </row>
    <row r="151" spans="1:17" x14ac:dyDescent="0.25">
      <c r="A151" t="s">
        <v>27</v>
      </c>
      <c r="B151">
        <v>2021</v>
      </c>
      <c r="C151">
        <v>9.7224753325870186</v>
      </c>
      <c r="D151">
        <v>78.040000000000006</v>
      </c>
      <c r="E151">
        <v>19</v>
      </c>
      <c r="F151" t="s">
        <v>596</v>
      </c>
      <c r="G151">
        <v>20.3</v>
      </c>
      <c r="I151" s="1" t="s">
        <v>380</v>
      </c>
      <c r="J151" s="1" t="s">
        <v>97</v>
      </c>
      <c r="K151" s="1" t="s">
        <v>360</v>
      </c>
      <c r="M151" t="s">
        <v>27</v>
      </c>
      <c r="N151" t="str">
        <f t="shared" si="6"/>
        <v>LMIC</v>
      </c>
      <c r="O151">
        <f t="shared" si="7"/>
        <v>0</v>
      </c>
      <c r="P151">
        <f t="shared" si="7"/>
        <v>0</v>
      </c>
      <c r="Q151">
        <f t="shared" si="7"/>
        <v>1</v>
      </c>
    </row>
    <row r="152" spans="1:17" x14ac:dyDescent="0.25">
      <c r="A152" t="s">
        <v>27</v>
      </c>
      <c r="B152">
        <v>2022</v>
      </c>
      <c r="C152">
        <v>3.6706172663748204</v>
      </c>
      <c r="D152">
        <v>32.28</v>
      </c>
      <c r="E152">
        <v>19</v>
      </c>
      <c r="F152" t="s">
        <v>597</v>
      </c>
      <c r="G152">
        <v>20.41</v>
      </c>
      <c r="I152" s="1" t="s">
        <v>381</v>
      </c>
      <c r="J152" s="1" t="s">
        <v>25</v>
      </c>
      <c r="K152" s="1" t="s">
        <v>360</v>
      </c>
      <c r="M152" t="s">
        <v>27</v>
      </c>
      <c r="N152" t="str">
        <f t="shared" si="6"/>
        <v>LMIC</v>
      </c>
      <c r="O152">
        <f t="shared" si="7"/>
        <v>0</v>
      </c>
      <c r="P152">
        <f t="shared" si="7"/>
        <v>0</v>
      </c>
      <c r="Q152">
        <f t="shared" si="7"/>
        <v>1</v>
      </c>
    </row>
    <row r="153" spans="1:17" x14ac:dyDescent="0.25">
      <c r="A153" t="s">
        <v>27</v>
      </c>
      <c r="B153">
        <v>2023</v>
      </c>
      <c r="C153">
        <v>6.1280540138467696</v>
      </c>
      <c r="D153">
        <v>33.28</v>
      </c>
      <c r="E153">
        <v>19</v>
      </c>
      <c r="F153" t="s">
        <v>598</v>
      </c>
      <c r="G153">
        <v>20.22</v>
      </c>
      <c r="I153" s="1" t="s">
        <v>382</v>
      </c>
      <c r="J153" s="1" t="s">
        <v>39</v>
      </c>
      <c r="K153" s="1" t="s">
        <v>360</v>
      </c>
      <c r="M153" t="s">
        <v>27</v>
      </c>
      <c r="N153" t="str">
        <f t="shared" si="6"/>
        <v>LMIC</v>
      </c>
      <c r="O153">
        <f t="shared" si="7"/>
        <v>0</v>
      </c>
      <c r="P153">
        <f t="shared" si="7"/>
        <v>0</v>
      </c>
      <c r="Q153">
        <f t="shared" si="7"/>
        <v>1</v>
      </c>
    </row>
    <row r="154" spans="1:17" x14ac:dyDescent="0.25">
      <c r="A154" t="s">
        <v>18</v>
      </c>
      <c r="B154">
        <v>2016</v>
      </c>
      <c r="C154">
        <v>5.6388149574906103</v>
      </c>
      <c r="D154">
        <v>22</v>
      </c>
      <c r="E154">
        <v>20</v>
      </c>
      <c r="F154" t="s">
        <v>599</v>
      </c>
      <c r="G154">
        <v>13.48</v>
      </c>
      <c r="I154" s="1" t="s">
        <v>383</v>
      </c>
      <c r="J154" s="1" t="s">
        <v>10</v>
      </c>
      <c r="K154" s="1" t="s">
        <v>360</v>
      </c>
      <c r="M154" t="s">
        <v>18</v>
      </c>
      <c r="N154" t="str">
        <f t="shared" si="6"/>
        <v>HIC</v>
      </c>
      <c r="O154">
        <f t="shared" si="7"/>
        <v>1</v>
      </c>
      <c r="P154">
        <f t="shared" si="7"/>
        <v>0</v>
      </c>
      <c r="Q154">
        <f t="shared" si="7"/>
        <v>0</v>
      </c>
    </row>
    <row r="155" spans="1:17" x14ac:dyDescent="0.25">
      <c r="A155" t="s">
        <v>18</v>
      </c>
      <c r="B155">
        <v>2017</v>
      </c>
      <c r="C155">
        <v>-9.4510871965894458E-2</v>
      </c>
      <c r="D155">
        <v>25.61</v>
      </c>
      <c r="E155">
        <v>20</v>
      </c>
      <c r="F155" t="s">
        <v>600</v>
      </c>
      <c r="G155">
        <v>13.23</v>
      </c>
      <c r="I155" s="1" t="s">
        <v>384</v>
      </c>
      <c r="J155" s="1" t="s">
        <v>1</v>
      </c>
      <c r="K155" s="1" t="s">
        <v>360</v>
      </c>
      <c r="M155" t="s">
        <v>18</v>
      </c>
      <c r="N155" t="str">
        <f t="shared" si="6"/>
        <v>HIC</v>
      </c>
      <c r="O155">
        <f t="shared" si="7"/>
        <v>1</v>
      </c>
      <c r="P155">
        <f t="shared" si="7"/>
        <v>0</v>
      </c>
      <c r="Q155">
        <f t="shared" si="7"/>
        <v>0</v>
      </c>
    </row>
    <row r="156" spans="1:17" x14ac:dyDescent="0.25">
      <c r="A156" t="s">
        <v>18</v>
      </c>
      <c r="B156">
        <v>2018</v>
      </c>
      <c r="C156">
        <v>3.9183195222835456</v>
      </c>
      <c r="D156">
        <v>24.7</v>
      </c>
      <c r="E156">
        <v>20</v>
      </c>
      <c r="F156" t="s">
        <v>601</v>
      </c>
      <c r="G156">
        <v>14.54</v>
      </c>
      <c r="I156" s="1" t="s">
        <v>385</v>
      </c>
      <c r="J156" s="1" t="s">
        <v>107</v>
      </c>
      <c r="K156" s="1" t="s">
        <v>360</v>
      </c>
      <c r="M156" t="s">
        <v>18</v>
      </c>
      <c r="N156" t="str">
        <f t="shared" si="6"/>
        <v>HIC</v>
      </c>
      <c r="O156">
        <f t="shared" si="7"/>
        <v>1</v>
      </c>
      <c r="P156">
        <f t="shared" si="7"/>
        <v>0</v>
      </c>
      <c r="Q156">
        <f t="shared" si="7"/>
        <v>0</v>
      </c>
    </row>
    <row r="157" spans="1:17" x14ac:dyDescent="0.25">
      <c r="A157" t="s">
        <v>18</v>
      </c>
      <c r="B157">
        <v>2019</v>
      </c>
      <c r="C157">
        <v>7.9449148800844291</v>
      </c>
      <c r="D157">
        <v>24.05</v>
      </c>
      <c r="E157">
        <v>20</v>
      </c>
      <c r="F157" t="s">
        <v>602</v>
      </c>
      <c r="G157">
        <v>14.68</v>
      </c>
      <c r="I157" s="1" t="s">
        <v>386</v>
      </c>
      <c r="J157" s="1" t="s">
        <v>8</v>
      </c>
      <c r="K157" s="1" t="s">
        <v>360</v>
      </c>
      <c r="M157" t="s">
        <v>18</v>
      </c>
      <c r="N157" t="str">
        <f t="shared" si="6"/>
        <v>HIC</v>
      </c>
      <c r="O157">
        <f t="shared" si="7"/>
        <v>1</v>
      </c>
      <c r="P157">
        <f t="shared" si="7"/>
        <v>0</v>
      </c>
      <c r="Q157">
        <f t="shared" si="7"/>
        <v>0</v>
      </c>
    </row>
    <row r="158" spans="1:17" x14ac:dyDescent="0.25">
      <c r="A158" t="s">
        <v>18</v>
      </c>
      <c r="B158">
        <v>2020</v>
      </c>
      <c r="C158">
        <v>14.314650644063736</v>
      </c>
      <c r="D158">
        <v>18.91</v>
      </c>
      <c r="E158">
        <v>20</v>
      </c>
      <c r="F158" t="s">
        <v>603</v>
      </c>
      <c r="G158">
        <v>14.44</v>
      </c>
      <c r="I158" s="1" t="s">
        <v>387</v>
      </c>
      <c r="J158" s="1" t="s">
        <v>109</v>
      </c>
      <c r="K158" s="1" t="s">
        <v>360</v>
      </c>
      <c r="M158" t="s">
        <v>18</v>
      </c>
      <c r="N158" t="str">
        <f t="shared" si="6"/>
        <v>HIC</v>
      </c>
      <c r="O158">
        <f t="shared" si="7"/>
        <v>1</v>
      </c>
      <c r="P158">
        <f t="shared" si="7"/>
        <v>0</v>
      </c>
      <c r="Q158">
        <f t="shared" si="7"/>
        <v>0</v>
      </c>
    </row>
    <row r="159" spans="1:17" x14ac:dyDescent="0.25">
      <c r="A159" t="s">
        <v>18</v>
      </c>
      <c r="B159">
        <v>2021</v>
      </c>
      <c r="C159">
        <v>-12.787804383776342</v>
      </c>
      <c r="D159">
        <v>20.73</v>
      </c>
      <c r="E159">
        <v>20</v>
      </c>
      <c r="F159" t="s">
        <v>604</v>
      </c>
      <c r="G159">
        <v>13.08</v>
      </c>
      <c r="I159" s="1" t="s">
        <v>388</v>
      </c>
      <c r="J159" s="1" t="s">
        <v>110</v>
      </c>
      <c r="K159" s="1" t="s">
        <v>360</v>
      </c>
      <c r="M159" t="s">
        <v>18</v>
      </c>
      <c r="N159" t="str">
        <f t="shared" si="6"/>
        <v>HIC</v>
      </c>
      <c r="O159">
        <f t="shared" si="7"/>
        <v>1</v>
      </c>
      <c r="P159">
        <f t="shared" si="7"/>
        <v>0</v>
      </c>
      <c r="Q159">
        <f t="shared" si="7"/>
        <v>0</v>
      </c>
    </row>
    <row r="160" spans="1:17" x14ac:dyDescent="0.25">
      <c r="A160" t="s">
        <v>18</v>
      </c>
      <c r="B160">
        <v>2022</v>
      </c>
      <c r="C160">
        <v>6.5428465646895999</v>
      </c>
      <c r="D160">
        <v>23.77</v>
      </c>
      <c r="E160">
        <v>20</v>
      </c>
      <c r="F160" t="s">
        <v>605</v>
      </c>
      <c r="G160">
        <v>14.16</v>
      </c>
      <c r="I160" s="1" t="s">
        <v>389</v>
      </c>
      <c r="J160" s="1" t="s">
        <v>51</v>
      </c>
      <c r="K160" s="1" t="s">
        <v>360</v>
      </c>
      <c r="M160" t="s">
        <v>18</v>
      </c>
      <c r="N160" t="str">
        <f t="shared" si="6"/>
        <v>HIC</v>
      </c>
      <c r="O160">
        <f t="shared" si="7"/>
        <v>1</v>
      </c>
      <c r="P160">
        <f t="shared" si="7"/>
        <v>0</v>
      </c>
      <c r="Q160">
        <f t="shared" si="7"/>
        <v>0</v>
      </c>
    </row>
    <row r="161" spans="1:17" x14ac:dyDescent="0.25">
      <c r="A161" t="s">
        <v>18</v>
      </c>
      <c r="B161">
        <v>2023</v>
      </c>
      <c r="C161">
        <v>-3.6372570557268737</v>
      </c>
      <c r="D161">
        <v>23.97</v>
      </c>
      <c r="E161">
        <v>20</v>
      </c>
      <c r="F161" t="s">
        <v>606</v>
      </c>
      <c r="G161">
        <v>14.58</v>
      </c>
      <c r="I161" s="1" t="s">
        <v>390</v>
      </c>
      <c r="J161" s="1" t="s">
        <v>113</v>
      </c>
      <c r="K161" s="1" t="s">
        <v>360</v>
      </c>
      <c r="M161" t="s">
        <v>18</v>
      </c>
      <c r="N161" t="str">
        <f t="shared" si="6"/>
        <v>HIC</v>
      </c>
      <c r="O161">
        <f t="shared" si="7"/>
        <v>1</v>
      </c>
      <c r="P161">
        <f t="shared" si="7"/>
        <v>0</v>
      </c>
      <c r="Q161">
        <f t="shared" si="7"/>
        <v>0</v>
      </c>
    </row>
    <row r="162" spans="1:17" x14ac:dyDescent="0.25">
      <c r="A162" t="s">
        <v>12</v>
      </c>
      <c r="B162">
        <v>2016</v>
      </c>
      <c r="C162">
        <v>2.3505899271307045</v>
      </c>
      <c r="D162">
        <v>18.87</v>
      </c>
      <c r="E162">
        <v>21</v>
      </c>
      <c r="F162" t="s">
        <v>607</v>
      </c>
      <c r="G162">
        <v>21.45</v>
      </c>
      <c r="I162" s="1" t="s">
        <v>391</v>
      </c>
      <c r="J162" s="1" t="s">
        <v>114</v>
      </c>
      <c r="K162" s="1" t="s">
        <v>360</v>
      </c>
      <c r="M162" t="s">
        <v>12</v>
      </c>
      <c r="N162" t="str">
        <f t="shared" si="6"/>
        <v>HIC</v>
      </c>
      <c r="O162">
        <f t="shared" si="7"/>
        <v>1</v>
      </c>
      <c r="P162">
        <f t="shared" si="7"/>
        <v>0</v>
      </c>
      <c r="Q162">
        <f t="shared" si="7"/>
        <v>0</v>
      </c>
    </row>
    <row r="163" spans="1:17" x14ac:dyDescent="0.25">
      <c r="A163" t="s">
        <v>12</v>
      </c>
      <c r="B163">
        <v>2017</v>
      </c>
      <c r="C163">
        <v>27.801129176943213</v>
      </c>
      <c r="D163">
        <v>18.25</v>
      </c>
      <c r="E163">
        <v>21</v>
      </c>
      <c r="F163" t="s">
        <v>608</v>
      </c>
      <c r="G163">
        <v>22.4</v>
      </c>
      <c r="I163" s="1" t="s">
        <v>392</v>
      </c>
      <c r="J163" s="1" t="s">
        <v>115</v>
      </c>
      <c r="K163" s="1" t="s">
        <v>360</v>
      </c>
      <c r="M163" t="s">
        <v>12</v>
      </c>
      <c r="N163" t="str">
        <f t="shared" si="6"/>
        <v>HIC</v>
      </c>
      <c r="O163">
        <f t="shared" ref="O163:Q209" si="8">IF($N163=O$1,1,0)</f>
        <v>1</v>
      </c>
      <c r="P163">
        <f t="shared" si="8"/>
        <v>0</v>
      </c>
      <c r="Q163">
        <f t="shared" si="8"/>
        <v>0</v>
      </c>
    </row>
    <row r="164" spans="1:17" x14ac:dyDescent="0.25">
      <c r="A164" t="s">
        <v>12</v>
      </c>
      <c r="B164">
        <v>2018</v>
      </c>
      <c r="C164">
        <v>11.851201639813439</v>
      </c>
      <c r="D164">
        <v>19.05</v>
      </c>
      <c r="E164">
        <v>21</v>
      </c>
      <c r="F164" t="s">
        <v>609</v>
      </c>
      <c r="G164">
        <v>20.95</v>
      </c>
      <c r="I164" s="1" t="s">
        <v>393</v>
      </c>
      <c r="J164" s="1" t="s">
        <v>117</v>
      </c>
      <c r="K164" s="1" t="s">
        <v>360</v>
      </c>
      <c r="M164" t="s">
        <v>12</v>
      </c>
      <c r="N164" t="str">
        <f t="shared" si="6"/>
        <v>HIC</v>
      </c>
      <c r="O164">
        <f t="shared" si="8"/>
        <v>1</v>
      </c>
      <c r="P164">
        <f t="shared" si="8"/>
        <v>0</v>
      </c>
      <c r="Q164">
        <f t="shared" si="8"/>
        <v>0</v>
      </c>
    </row>
    <row r="165" spans="1:17" x14ac:dyDescent="0.25">
      <c r="A165" t="s">
        <v>12</v>
      </c>
      <c r="B165">
        <v>2019</v>
      </c>
      <c r="C165">
        <v>-2.1471104358918724</v>
      </c>
      <c r="D165">
        <v>19.22</v>
      </c>
      <c r="E165">
        <v>21</v>
      </c>
      <c r="F165" t="s">
        <v>610</v>
      </c>
      <c r="G165">
        <v>21.69</v>
      </c>
      <c r="I165" s="1" t="s">
        <v>394</v>
      </c>
      <c r="J165" s="1" t="s">
        <v>121</v>
      </c>
      <c r="K165" s="1" t="s">
        <v>360</v>
      </c>
      <c r="M165" t="s">
        <v>12</v>
      </c>
      <c r="N165" t="str">
        <f t="shared" si="6"/>
        <v>HIC</v>
      </c>
      <c r="O165">
        <f t="shared" si="8"/>
        <v>1</v>
      </c>
      <c r="P165">
        <f t="shared" si="8"/>
        <v>0</v>
      </c>
      <c r="Q165">
        <f t="shared" si="8"/>
        <v>0</v>
      </c>
    </row>
    <row r="166" spans="1:17" x14ac:dyDescent="0.25">
      <c r="A166" t="s">
        <v>12</v>
      </c>
      <c r="B166">
        <v>2020</v>
      </c>
      <c r="C166">
        <v>50.524842649463821</v>
      </c>
      <c r="D166">
        <v>14.9</v>
      </c>
      <c r="E166">
        <v>21</v>
      </c>
      <c r="F166" t="s">
        <v>611</v>
      </c>
      <c r="G166">
        <v>21.82</v>
      </c>
      <c r="I166" s="1" t="s">
        <v>395</v>
      </c>
      <c r="J166" s="1" t="s">
        <v>43</v>
      </c>
      <c r="K166" s="1" t="s">
        <v>360</v>
      </c>
      <c r="M166" t="s">
        <v>12</v>
      </c>
      <c r="N166" t="str">
        <f t="shared" si="6"/>
        <v>HIC</v>
      </c>
      <c r="O166">
        <f t="shared" si="8"/>
        <v>1</v>
      </c>
      <c r="P166">
        <f t="shared" si="8"/>
        <v>0</v>
      </c>
      <c r="Q166">
        <f t="shared" si="8"/>
        <v>0</v>
      </c>
    </row>
    <row r="167" spans="1:17" x14ac:dyDescent="0.25">
      <c r="A167" t="s">
        <v>12</v>
      </c>
      <c r="B167">
        <v>2021</v>
      </c>
      <c r="C167">
        <v>-5.1753420150708385</v>
      </c>
      <c r="D167">
        <v>15.09</v>
      </c>
      <c r="E167">
        <v>21</v>
      </c>
      <c r="F167" t="s">
        <v>612</v>
      </c>
      <c r="G167">
        <v>21.32</v>
      </c>
      <c r="I167" s="1" t="s">
        <v>396</v>
      </c>
      <c r="J167" s="1" t="s">
        <v>6</v>
      </c>
      <c r="K167" s="1" t="s">
        <v>360</v>
      </c>
      <c r="M167" t="s">
        <v>12</v>
      </c>
      <c r="N167" t="str">
        <f t="shared" si="6"/>
        <v>HIC</v>
      </c>
      <c r="O167">
        <f t="shared" si="8"/>
        <v>1</v>
      </c>
      <c r="P167">
        <f t="shared" si="8"/>
        <v>0</v>
      </c>
      <c r="Q167">
        <f t="shared" si="8"/>
        <v>0</v>
      </c>
    </row>
    <row r="168" spans="1:17" x14ac:dyDescent="0.25">
      <c r="A168" t="s">
        <v>12</v>
      </c>
      <c r="B168">
        <v>2022</v>
      </c>
      <c r="C168">
        <v>-3.3031027596432643</v>
      </c>
      <c r="D168">
        <v>18.86</v>
      </c>
      <c r="E168">
        <v>21</v>
      </c>
      <c r="F168" t="s">
        <v>613</v>
      </c>
      <c r="G168">
        <v>22.26</v>
      </c>
      <c r="I168" s="1" t="s">
        <v>397</v>
      </c>
      <c r="J168" s="1" t="s">
        <v>32</v>
      </c>
      <c r="K168" s="1" t="s">
        <v>360</v>
      </c>
      <c r="M168" t="s">
        <v>12</v>
      </c>
      <c r="N168" t="str">
        <f t="shared" si="6"/>
        <v>HIC</v>
      </c>
      <c r="O168">
        <f t="shared" si="8"/>
        <v>1</v>
      </c>
      <c r="P168">
        <f t="shared" si="8"/>
        <v>0</v>
      </c>
      <c r="Q168">
        <f t="shared" si="8"/>
        <v>0</v>
      </c>
    </row>
    <row r="169" spans="1:17" x14ac:dyDescent="0.25">
      <c r="A169" t="s">
        <v>12</v>
      </c>
      <c r="B169">
        <v>2023</v>
      </c>
      <c r="C169">
        <v>18.795221210838264</v>
      </c>
      <c r="D169">
        <v>19.75</v>
      </c>
      <c r="E169">
        <v>21</v>
      </c>
      <c r="F169" t="s">
        <v>614</v>
      </c>
      <c r="G169">
        <v>22.39</v>
      </c>
      <c r="I169" s="1" t="s">
        <v>398</v>
      </c>
      <c r="J169" s="1" t="s">
        <v>17</v>
      </c>
      <c r="K169" s="1" t="s">
        <v>360</v>
      </c>
      <c r="M169" t="s">
        <v>12</v>
      </c>
      <c r="N169" t="str">
        <f t="shared" si="6"/>
        <v>HIC</v>
      </c>
      <c r="O169">
        <f t="shared" si="8"/>
        <v>1</v>
      </c>
      <c r="P169">
        <f t="shared" si="8"/>
        <v>0</v>
      </c>
      <c r="Q169">
        <f t="shared" si="8"/>
        <v>0</v>
      </c>
    </row>
    <row r="170" spans="1:17" x14ac:dyDescent="0.25">
      <c r="A170" t="s">
        <v>22</v>
      </c>
      <c r="B170">
        <v>2016</v>
      </c>
      <c r="C170">
        <v>13.877168723647751</v>
      </c>
      <c r="D170">
        <v>25.2</v>
      </c>
      <c r="E170">
        <v>22</v>
      </c>
      <c r="F170" t="s">
        <v>615</v>
      </c>
      <c r="G170">
        <v>15.99</v>
      </c>
      <c r="I170" s="1" t="s">
        <v>399</v>
      </c>
      <c r="J170" s="1" t="s">
        <v>126</v>
      </c>
      <c r="K170" s="1" t="s">
        <v>360</v>
      </c>
      <c r="M170" t="s">
        <v>22</v>
      </c>
      <c r="N170" t="str">
        <f t="shared" si="6"/>
        <v>HIC</v>
      </c>
      <c r="O170">
        <f t="shared" si="8"/>
        <v>1</v>
      </c>
      <c r="P170">
        <f t="shared" si="8"/>
        <v>0</v>
      </c>
      <c r="Q170">
        <f t="shared" si="8"/>
        <v>0</v>
      </c>
    </row>
    <row r="171" spans="1:17" x14ac:dyDescent="0.25">
      <c r="A171" t="s">
        <v>22</v>
      </c>
      <c r="B171">
        <v>2017</v>
      </c>
      <c r="C171">
        <v>1.7828015361821155</v>
      </c>
      <c r="D171">
        <v>25.37</v>
      </c>
      <c r="E171">
        <v>22</v>
      </c>
      <c r="F171" t="s">
        <v>616</v>
      </c>
      <c r="G171">
        <v>16.100000000000001</v>
      </c>
      <c r="I171" s="1" t="s">
        <v>400</v>
      </c>
      <c r="J171" s="1" t="s">
        <v>127</v>
      </c>
      <c r="K171" s="1" t="s">
        <v>360</v>
      </c>
      <c r="M171" t="s">
        <v>22</v>
      </c>
      <c r="N171" t="str">
        <f t="shared" si="6"/>
        <v>HIC</v>
      </c>
      <c r="O171">
        <f t="shared" si="8"/>
        <v>1</v>
      </c>
      <c r="P171">
        <f t="shared" si="8"/>
        <v>0</v>
      </c>
      <c r="Q171">
        <f t="shared" si="8"/>
        <v>0</v>
      </c>
    </row>
    <row r="172" spans="1:17" x14ac:dyDescent="0.25">
      <c r="A172" t="s">
        <v>22</v>
      </c>
      <c r="B172">
        <v>2018</v>
      </c>
      <c r="C172">
        <v>-3.9048459939679017</v>
      </c>
      <c r="D172">
        <v>25.79</v>
      </c>
      <c r="E172">
        <v>22</v>
      </c>
      <c r="F172" t="s">
        <v>617</v>
      </c>
      <c r="G172">
        <v>16.62</v>
      </c>
      <c r="I172" s="1" t="s">
        <v>401</v>
      </c>
      <c r="J172" s="1" t="s">
        <v>23</v>
      </c>
      <c r="K172" s="1" t="s">
        <v>360</v>
      </c>
      <c r="M172" t="s">
        <v>22</v>
      </c>
      <c r="N172" t="str">
        <f t="shared" si="6"/>
        <v>HIC</v>
      </c>
      <c r="O172">
        <f t="shared" si="8"/>
        <v>1</v>
      </c>
      <c r="P172">
        <f t="shared" si="8"/>
        <v>0</v>
      </c>
      <c r="Q172">
        <f t="shared" si="8"/>
        <v>0</v>
      </c>
    </row>
    <row r="173" spans="1:17" x14ac:dyDescent="0.25">
      <c r="A173" t="s">
        <v>22</v>
      </c>
      <c r="B173">
        <v>2019</v>
      </c>
      <c r="C173">
        <v>4.4667173505604323</v>
      </c>
      <c r="D173">
        <v>26.81</v>
      </c>
      <c r="E173">
        <v>22</v>
      </c>
      <c r="F173" t="s">
        <v>618</v>
      </c>
      <c r="G173">
        <v>17.2</v>
      </c>
      <c r="I173" s="1" t="s">
        <v>402</v>
      </c>
      <c r="J173" s="1" t="s">
        <v>129</v>
      </c>
      <c r="K173" s="1" t="s">
        <v>360</v>
      </c>
      <c r="M173" t="s">
        <v>22</v>
      </c>
      <c r="N173" t="str">
        <f t="shared" si="6"/>
        <v>HIC</v>
      </c>
      <c r="O173">
        <f t="shared" si="8"/>
        <v>1</v>
      </c>
      <c r="P173">
        <f t="shared" si="8"/>
        <v>0</v>
      </c>
      <c r="Q173">
        <f t="shared" si="8"/>
        <v>0</v>
      </c>
    </row>
    <row r="174" spans="1:17" x14ac:dyDescent="0.25">
      <c r="A174" t="s">
        <v>22</v>
      </c>
      <c r="B174">
        <v>2020</v>
      </c>
      <c r="C174">
        <v>-3.7110437774225264</v>
      </c>
      <c r="D174">
        <v>26.14</v>
      </c>
      <c r="E174">
        <v>22</v>
      </c>
      <c r="F174" t="s">
        <v>619</v>
      </c>
      <c r="G174">
        <v>16.68</v>
      </c>
      <c r="I174" s="1" t="s">
        <v>403</v>
      </c>
      <c r="J174" s="1" t="s">
        <v>46</v>
      </c>
      <c r="K174" s="1" t="s">
        <v>360</v>
      </c>
      <c r="M174" t="s">
        <v>22</v>
      </c>
      <c r="N174" t="str">
        <f t="shared" si="6"/>
        <v>HIC</v>
      </c>
      <c r="O174">
        <f t="shared" si="8"/>
        <v>1</v>
      </c>
      <c r="P174">
        <f t="shared" si="8"/>
        <v>0</v>
      </c>
      <c r="Q174">
        <f t="shared" si="8"/>
        <v>0</v>
      </c>
    </row>
    <row r="175" spans="1:17" x14ac:dyDescent="0.25">
      <c r="A175" t="s">
        <v>22</v>
      </c>
      <c r="B175">
        <v>2021</v>
      </c>
      <c r="C175">
        <v>-5.3108075337482825</v>
      </c>
      <c r="D175">
        <v>26.73</v>
      </c>
      <c r="E175">
        <v>22</v>
      </c>
      <c r="F175" t="s">
        <v>620</v>
      </c>
      <c r="G175">
        <v>15.58</v>
      </c>
      <c r="I175" s="1" t="s">
        <v>404</v>
      </c>
      <c r="J175" s="1" t="s">
        <v>54</v>
      </c>
      <c r="K175" s="1" t="s">
        <v>360</v>
      </c>
      <c r="M175" t="s">
        <v>22</v>
      </c>
      <c r="N175" t="str">
        <f t="shared" si="6"/>
        <v>HIC</v>
      </c>
      <c r="O175">
        <f t="shared" si="8"/>
        <v>1</v>
      </c>
      <c r="P175">
        <f t="shared" si="8"/>
        <v>0</v>
      </c>
      <c r="Q175">
        <f t="shared" si="8"/>
        <v>0</v>
      </c>
    </row>
    <row r="176" spans="1:17" x14ac:dyDescent="0.25">
      <c r="A176" t="s">
        <v>22</v>
      </c>
      <c r="B176">
        <v>2022</v>
      </c>
      <c r="C176">
        <v>-4.2958852654942747</v>
      </c>
      <c r="D176">
        <v>28.67</v>
      </c>
      <c r="E176">
        <v>22</v>
      </c>
      <c r="F176" t="s">
        <v>621</v>
      </c>
      <c r="G176">
        <v>16.75</v>
      </c>
      <c r="I176" s="1" t="s">
        <v>405</v>
      </c>
      <c r="J176" s="1" t="s">
        <v>5</v>
      </c>
      <c r="K176" s="1" t="s">
        <v>360</v>
      </c>
      <c r="M176" t="s">
        <v>22</v>
      </c>
      <c r="N176" t="str">
        <f t="shared" si="6"/>
        <v>HIC</v>
      </c>
      <c r="O176">
        <f t="shared" si="8"/>
        <v>1</v>
      </c>
      <c r="P176">
        <f t="shared" si="8"/>
        <v>0</v>
      </c>
      <c r="Q176">
        <f t="shared" si="8"/>
        <v>0</v>
      </c>
    </row>
    <row r="177" spans="1:17" x14ac:dyDescent="0.25">
      <c r="A177" t="s">
        <v>22</v>
      </c>
      <c r="B177">
        <v>2023</v>
      </c>
      <c r="C177">
        <v>0.477397647621295</v>
      </c>
      <c r="D177">
        <v>28.72</v>
      </c>
      <c r="E177">
        <v>22</v>
      </c>
      <c r="F177" t="s">
        <v>622</v>
      </c>
      <c r="G177">
        <v>17.309999999999999</v>
      </c>
      <c r="I177" s="1" t="s">
        <v>406</v>
      </c>
      <c r="J177" s="1" t="s">
        <v>140</v>
      </c>
      <c r="K177" s="1" t="s">
        <v>360</v>
      </c>
      <c r="M177" t="s">
        <v>22</v>
      </c>
      <c r="N177" t="str">
        <f t="shared" si="6"/>
        <v>HIC</v>
      </c>
      <c r="O177">
        <f t="shared" si="8"/>
        <v>1</v>
      </c>
      <c r="P177">
        <f t="shared" si="8"/>
        <v>0</v>
      </c>
      <c r="Q177">
        <f t="shared" si="8"/>
        <v>0</v>
      </c>
    </row>
    <row r="178" spans="1:17" x14ac:dyDescent="0.25">
      <c r="A178" t="s">
        <v>7</v>
      </c>
      <c r="B178">
        <v>2016</v>
      </c>
      <c r="C178">
        <v>12.938007140538785</v>
      </c>
      <c r="D178">
        <v>15.55</v>
      </c>
      <c r="E178">
        <v>23</v>
      </c>
      <c r="F178" t="s">
        <v>623</v>
      </c>
      <c r="G178">
        <v>1.7</v>
      </c>
      <c r="I178" s="1" t="s">
        <v>407</v>
      </c>
      <c r="J178" s="1" t="s">
        <v>9</v>
      </c>
      <c r="K178" s="1" t="s">
        <v>360</v>
      </c>
      <c r="M178" t="s">
        <v>7</v>
      </c>
      <c r="N178" t="str">
        <f t="shared" si="6"/>
        <v>HIC</v>
      </c>
      <c r="O178">
        <f t="shared" si="8"/>
        <v>1</v>
      </c>
      <c r="P178">
        <f t="shared" si="8"/>
        <v>0</v>
      </c>
      <c r="Q178">
        <f t="shared" si="8"/>
        <v>0</v>
      </c>
    </row>
    <row r="179" spans="1:17" x14ac:dyDescent="0.25">
      <c r="A179" t="s">
        <v>7</v>
      </c>
      <c r="B179">
        <v>2017</v>
      </c>
      <c r="C179">
        <v>7.2226277582034815</v>
      </c>
      <c r="D179">
        <v>16.260000000000002</v>
      </c>
      <c r="E179">
        <v>23</v>
      </c>
      <c r="F179" t="s">
        <v>624</v>
      </c>
      <c r="G179">
        <v>1.92</v>
      </c>
      <c r="I179" s="1" t="s">
        <v>408</v>
      </c>
      <c r="J179" s="1" t="s">
        <v>141</v>
      </c>
      <c r="K179" s="1" t="s">
        <v>360</v>
      </c>
      <c r="M179" t="s">
        <v>7</v>
      </c>
      <c r="N179" t="str">
        <f t="shared" si="6"/>
        <v>HIC</v>
      </c>
      <c r="O179">
        <f t="shared" si="8"/>
        <v>1</v>
      </c>
      <c r="P179">
        <f t="shared" si="8"/>
        <v>0</v>
      </c>
      <c r="Q179">
        <f t="shared" si="8"/>
        <v>0</v>
      </c>
    </row>
    <row r="180" spans="1:17" x14ac:dyDescent="0.25">
      <c r="A180" t="s">
        <v>7</v>
      </c>
      <c r="B180">
        <v>2018</v>
      </c>
      <c r="C180">
        <v>9.3729730309251824</v>
      </c>
      <c r="D180">
        <v>15.21</v>
      </c>
      <c r="E180">
        <v>23</v>
      </c>
      <c r="F180" t="s">
        <v>625</v>
      </c>
      <c r="G180">
        <v>1.59</v>
      </c>
      <c r="I180" s="1" t="s">
        <v>409</v>
      </c>
      <c r="J180" s="1" t="s">
        <v>142</v>
      </c>
      <c r="K180" s="1" t="s">
        <v>360</v>
      </c>
      <c r="M180" t="s">
        <v>7</v>
      </c>
      <c r="N180" t="str">
        <f t="shared" si="6"/>
        <v>HIC</v>
      </c>
      <c r="O180">
        <f t="shared" si="8"/>
        <v>1</v>
      </c>
      <c r="P180">
        <f t="shared" si="8"/>
        <v>0</v>
      </c>
      <c r="Q180">
        <f t="shared" si="8"/>
        <v>0</v>
      </c>
    </row>
    <row r="181" spans="1:17" x14ac:dyDescent="0.25">
      <c r="A181" t="s">
        <v>7</v>
      </c>
      <c r="B181">
        <v>2019</v>
      </c>
      <c r="C181">
        <v>21.693165777917191</v>
      </c>
      <c r="D181">
        <v>15.74</v>
      </c>
      <c r="E181">
        <v>23</v>
      </c>
      <c r="F181" t="s">
        <v>626</v>
      </c>
      <c r="G181">
        <v>2.16</v>
      </c>
      <c r="I181" s="1" t="s">
        <v>410</v>
      </c>
      <c r="J181" s="1" t="s">
        <v>14</v>
      </c>
      <c r="K181" s="1" t="s">
        <v>360</v>
      </c>
      <c r="M181" t="s">
        <v>7</v>
      </c>
      <c r="N181" t="str">
        <f t="shared" si="6"/>
        <v>HIC</v>
      </c>
      <c r="O181">
        <f t="shared" si="8"/>
        <v>1</v>
      </c>
      <c r="P181">
        <f t="shared" si="8"/>
        <v>0</v>
      </c>
      <c r="Q181">
        <f t="shared" si="8"/>
        <v>0</v>
      </c>
    </row>
    <row r="182" spans="1:17" x14ac:dyDescent="0.25">
      <c r="A182" t="s">
        <v>7</v>
      </c>
      <c r="B182">
        <v>2020</v>
      </c>
      <c r="C182">
        <v>17.278376756493337</v>
      </c>
      <c r="D182">
        <v>19.93</v>
      </c>
      <c r="E182">
        <v>23</v>
      </c>
      <c r="F182" t="s">
        <v>627</v>
      </c>
      <c r="G182">
        <v>3.22</v>
      </c>
      <c r="I182" s="1" t="s">
        <v>411</v>
      </c>
      <c r="J182" s="1" t="s">
        <v>152</v>
      </c>
      <c r="K182" s="1" t="s">
        <v>360</v>
      </c>
      <c r="M182" t="s">
        <v>7</v>
      </c>
      <c r="N182" t="str">
        <f t="shared" si="6"/>
        <v>HIC</v>
      </c>
      <c r="O182">
        <f t="shared" si="8"/>
        <v>1</v>
      </c>
      <c r="P182">
        <f t="shared" si="8"/>
        <v>0</v>
      </c>
      <c r="Q182">
        <f t="shared" si="8"/>
        <v>0</v>
      </c>
    </row>
    <row r="183" spans="1:17" x14ac:dyDescent="0.25">
      <c r="A183" t="s">
        <v>7</v>
      </c>
      <c r="B183">
        <v>2021</v>
      </c>
      <c r="C183">
        <v>9.6664079617025074</v>
      </c>
      <c r="D183">
        <v>16.7</v>
      </c>
      <c r="E183">
        <v>23</v>
      </c>
      <c r="F183" t="s">
        <v>628</v>
      </c>
      <c r="G183">
        <v>1.38</v>
      </c>
      <c r="I183" s="1" t="s">
        <v>412</v>
      </c>
      <c r="J183" s="1" t="s">
        <v>158</v>
      </c>
      <c r="K183" s="1" t="s">
        <v>360</v>
      </c>
      <c r="M183" t="s">
        <v>7</v>
      </c>
      <c r="N183" t="str">
        <f t="shared" si="6"/>
        <v>HIC</v>
      </c>
      <c r="O183">
        <f t="shared" si="8"/>
        <v>1</v>
      </c>
      <c r="P183">
        <f t="shared" si="8"/>
        <v>0</v>
      </c>
      <c r="Q183">
        <f t="shared" si="8"/>
        <v>0</v>
      </c>
    </row>
    <row r="184" spans="1:17" x14ac:dyDescent="0.25">
      <c r="A184" t="s">
        <v>7</v>
      </c>
      <c r="B184">
        <v>2022</v>
      </c>
      <c r="C184">
        <v>9.0326358574819476</v>
      </c>
      <c r="D184">
        <v>15.44</v>
      </c>
      <c r="E184">
        <v>23</v>
      </c>
      <c r="F184" t="s">
        <v>629</v>
      </c>
      <c r="G184">
        <v>1.99</v>
      </c>
      <c r="I184" s="1" t="s">
        <v>413</v>
      </c>
      <c r="J184" s="1" t="s">
        <v>159</v>
      </c>
      <c r="K184" s="1" t="s">
        <v>360</v>
      </c>
      <c r="M184" t="s">
        <v>7</v>
      </c>
      <c r="N184" t="str">
        <f t="shared" si="6"/>
        <v>HIC</v>
      </c>
      <c r="O184">
        <f t="shared" si="8"/>
        <v>1</v>
      </c>
      <c r="P184">
        <f t="shared" si="8"/>
        <v>0</v>
      </c>
      <c r="Q184">
        <f t="shared" si="8"/>
        <v>0</v>
      </c>
    </row>
    <row r="185" spans="1:17" x14ac:dyDescent="0.25">
      <c r="A185" t="s">
        <v>7</v>
      </c>
      <c r="B185">
        <v>2023</v>
      </c>
      <c r="C185">
        <v>4.9059844279079918</v>
      </c>
      <c r="D185">
        <v>16.170000000000002</v>
      </c>
      <c r="E185">
        <v>23</v>
      </c>
      <c r="F185" t="s">
        <v>630</v>
      </c>
      <c r="G185">
        <v>2.21</v>
      </c>
      <c r="I185" s="1" t="s">
        <v>414</v>
      </c>
      <c r="J185" s="1" t="s">
        <v>160</v>
      </c>
      <c r="K185" s="1" t="s">
        <v>360</v>
      </c>
      <c r="M185" t="s">
        <v>7</v>
      </c>
      <c r="N185" t="str">
        <f t="shared" si="6"/>
        <v>HIC</v>
      </c>
      <c r="O185">
        <f t="shared" si="8"/>
        <v>1</v>
      </c>
      <c r="P185">
        <f t="shared" si="8"/>
        <v>0</v>
      </c>
      <c r="Q185">
        <f t="shared" si="8"/>
        <v>0</v>
      </c>
    </row>
    <row r="186" spans="1:17" x14ac:dyDescent="0.25">
      <c r="A186" t="s">
        <v>4</v>
      </c>
      <c r="B186">
        <v>2016</v>
      </c>
      <c r="C186">
        <v>14.933217907494434</v>
      </c>
      <c r="D186">
        <v>13.1</v>
      </c>
      <c r="E186">
        <v>24</v>
      </c>
      <c r="F186" t="s">
        <v>631</v>
      </c>
      <c r="G186">
        <v>15.06</v>
      </c>
      <c r="I186" s="1" t="s">
        <v>415</v>
      </c>
      <c r="J186" s="1" t="s">
        <v>161</v>
      </c>
      <c r="K186" s="1" t="s">
        <v>360</v>
      </c>
      <c r="M186" t="s">
        <v>4</v>
      </c>
      <c r="N186" t="str">
        <f t="shared" si="6"/>
        <v>HIC</v>
      </c>
      <c r="O186">
        <f t="shared" si="8"/>
        <v>1</v>
      </c>
      <c r="P186">
        <f t="shared" si="8"/>
        <v>0</v>
      </c>
      <c r="Q186">
        <f t="shared" si="8"/>
        <v>0</v>
      </c>
    </row>
    <row r="187" spans="1:17" x14ac:dyDescent="0.25">
      <c r="A187" t="s">
        <v>4</v>
      </c>
      <c r="B187">
        <v>2017</v>
      </c>
      <c r="C187">
        <v>-5.842793350191001</v>
      </c>
      <c r="D187">
        <v>13.24</v>
      </c>
      <c r="E187">
        <v>24</v>
      </c>
      <c r="F187" t="s">
        <v>632</v>
      </c>
      <c r="G187">
        <v>15.35</v>
      </c>
      <c r="I187" s="1" t="s">
        <v>416</v>
      </c>
      <c r="J187" s="1" t="s">
        <v>166</v>
      </c>
      <c r="K187" s="1" t="s">
        <v>360</v>
      </c>
      <c r="M187" t="s">
        <v>4</v>
      </c>
      <c r="N187" t="str">
        <f t="shared" si="6"/>
        <v>HIC</v>
      </c>
      <c r="O187">
        <f t="shared" si="8"/>
        <v>1</v>
      </c>
      <c r="P187">
        <f t="shared" si="8"/>
        <v>0</v>
      </c>
      <c r="Q187">
        <f t="shared" si="8"/>
        <v>0</v>
      </c>
    </row>
    <row r="188" spans="1:17" x14ac:dyDescent="0.25">
      <c r="A188" t="s">
        <v>4</v>
      </c>
      <c r="B188">
        <v>2018</v>
      </c>
      <c r="C188">
        <v>11.050797097308731</v>
      </c>
      <c r="D188">
        <v>13.28</v>
      </c>
      <c r="E188">
        <v>24</v>
      </c>
      <c r="F188" t="s">
        <v>633</v>
      </c>
      <c r="G188">
        <v>16.34</v>
      </c>
      <c r="I188" s="1" t="s">
        <v>417</v>
      </c>
      <c r="J188" s="1" t="s">
        <v>3</v>
      </c>
      <c r="K188" s="1" t="s">
        <v>360</v>
      </c>
      <c r="M188" t="s">
        <v>4</v>
      </c>
      <c r="N188" t="str">
        <f t="shared" si="6"/>
        <v>HIC</v>
      </c>
      <c r="O188">
        <f t="shared" si="8"/>
        <v>1</v>
      </c>
      <c r="P188">
        <f t="shared" si="8"/>
        <v>0</v>
      </c>
      <c r="Q188">
        <f t="shared" si="8"/>
        <v>0</v>
      </c>
    </row>
    <row r="189" spans="1:17" x14ac:dyDescent="0.25">
      <c r="A189" t="s">
        <v>4</v>
      </c>
      <c r="B189">
        <v>2019</v>
      </c>
      <c r="C189">
        <v>10.311294057113459</v>
      </c>
      <c r="D189">
        <v>13.15</v>
      </c>
      <c r="E189">
        <v>24</v>
      </c>
      <c r="F189" t="s">
        <v>634</v>
      </c>
      <c r="G189">
        <v>16.23</v>
      </c>
      <c r="I189" s="1" t="s">
        <v>418</v>
      </c>
      <c r="J189" s="1" t="s">
        <v>47</v>
      </c>
      <c r="K189" s="1" t="s">
        <v>360</v>
      </c>
      <c r="M189" t="s">
        <v>4</v>
      </c>
      <c r="N189" t="str">
        <f t="shared" si="6"/>
        <v>HIC</v>
      </c>
      <c r="O189">
        <f t="shared" si="8"/>
        <v>1</v>
      </c>
      <c r="P189">
        <f t="shared" si="8"/>
        <v>0</v>
      </c>
      <c r="Q189">
        <f t="shared" si="8"/>
        <v>0</v>
      </c>
    </row>
    <row r="190" spans="1:17" x14ac:dyDescent="0.25">
      <c r="A190" t="s">
        <v>4</v>
      </c>
      <c r="B190">
        <v>2020</v>
      </c>
      <c r="C190">
        <v>-21.983301459956163</v>
      </c>
      <c r="D190">
        <v>10.33</v>
      </c>
      <c r="E190">
        <v>24</v>
      </c>
      <c r="F190" t="s">
        <v>635</v>
      </c>
      <c r="G190">
        <v>15.75</v>
      </c>
      <c r="I190" s="1" t="s">
        <v>419</v>
      </c>
      <c r="J190" s="1" t="s">
        <v>168</v>
      </c>
      <c r="K190" s="1" t="s">
        <v>360</v>
      </c>
      <c r="M190" t="s">
        <v>4</v>
      </c>
      <c r="N190" t="str">
        <f t="shared" si="6"/>
        <v>HIC</v>
      </c>
      <c r="O190">
        <f t="shared" si="8"/>
        <v>1</v>
      </c>
      <c r="P190">
        <f t="shared" si="8"/>
        <v>0</v>
      </c>
      <c r="Q190">
        <f t="shared" si="8"/>
        <v>0</v>
      </c>
    </row>
    <row r="191" spans="1:17" x14ac:dyDescent="0.25">
      <c r="A191" t="s">
        <v>4</v>
      </c>
      <c r="B191">
        <v>2021</v>
      </c>
      <c r="C191">
        <v>0.79516919765635441</v>
      </c>
      <c r="D191">
        <v>10.32</v>
      </c>
      <c r="E191">
        <v>24</v>
      </c>
      <c r="F191" t="s">
        <v>636</v>
      </c>
      <c r="G191">
        <v>14.98</v>
      </c>
      <c r="I191" s="1" t="s">
        <v>420</v>
      </c>
      <c r="J191" s="1" t="s">
        <v>169</v>
      </c>
      <c r="K191" s="1" t="s">
        <v>360</v>
      </c>
      <c r="M191" t="s">
        <v>4</v>
      </c>
      <c r="N191" t="str">
        <f t="shared" si="6"/>
        <v>HIC</v>
      </c>
      <c r="O191">
        <f t="shared" si="8"/>
        <v>1</v>
      </c>
      <c r="P191">
        <f t="shared" si="8"/>
        <v>0</v>
      </c>
      <c r="Q191">
        <f t="shared" si="8"/>
        <v>0</v>
      </c>
    </row>
    <row r="192" spans="1:17" x14ac:dyDescent="0.25">
      <c r="A192" t="s">
        <v>4</v>
      </c>
      <c r="B192">
        <v>2022</v>
      </c>
      <c r="C192">
        <v>-2.5031140637048486</v>
      </c>
      <c r="D192">
        <v>12.59</v>
      </c>
      <c r="E192">
        <v>24</v>
      </c>
      <c r="F192" t="s">
        <v>637</v>
      </c>
      <c r="G192">
        <v>16.350000000000001</v>
      </c>
      <c r="I192" s="1" t="s">
        <v>421</v>
      </c>
      <c r="J192" s="1" t="s">
        <v>18</v>
      </c>
      <c r="K192" s="1" t="s">
        <v>360</v>
      </c>
      <c r="M192" t="s">
        <v>4</v>
      </c>
      <c r="N192" t="str">
        <f t="shared" si="6"/>
        <v>HIC</v>
      </c>
      <c r="O192">
        <f t="shared" si="8"/>
        <v>1</v>
      </c>
      <c r="P192">
        <f t="shared" si="8"/>
        <v>0</v>
      </c>
      <c r="Q192">
        <f t="shared" si="8"/>
        <v>0</v>
      </c>
    </row>
    <row r="193" spans="1:17" x14ac:dyDescent="0.25">
      <c r="A193" t="s">
        <v>4</v>
      </c>
      <c r="B193">
        <v>2023</v>
      </c>
      <c r="C193">
        <v>-30.717284175944521</v>
      </c>
      <c r="D193">
        <v>13.62</v>
      </c>
      <c r="E193">
        <v>24</v>
      </c>
      <c r="F193" t="s">
        <v>638</v>
      </c>
      <c r="G193">
        <v>16.309999999999999</v>
      </c>
      <c r="I193" s="1" t="s">
        <v>422</v>
      </c>
      <c r="J193" s="1" t="s">
        <v>12</v>
      </c>
      <c r="K193" s="1" t="s">
        <v>360</v>
      </c>
      <c r="M193" t="s">
        <v>4</v>
      </c>
      <c r="N193" t="str">
        <f t="shared" si="6"/>
        <v>HIC</v>
      </c>
      <c r="O193">
        <f t="shared" si="8"/>
        <v>1</v>
      </c>
      <c r="P193">
        <f t="shared" si="8"/>
        <v>0</v>
      </c>
      <c r="Q193">
        <f t="shared" si="8"/>
        <v>0</v>
      </c>
    </row>
    <row r="194" spans="1:17" x14ac:dyDescent="0.25">
      <c r="A194" t="s">
        <v>15</v>
      </c>
      <c r="B194">
        <v>2016</v>
      </c>
      <c r="C194">
        <v>-2.4444444444444446</v>
      </c>
      <c r="D194">
        <v>21.02</v>
      </c>
      <c r="E194">
        <v>25</v>
      </c>
      <c r="F194" t="s">
        <v>639</v>
      </c>
      <c r="G194">
        <v>11.11</v>
      </c>
      <c r="I194" s="1" t="s">
        <v>423</v>
      </c>
      <c r="J194" s="1" t="s">
        <v>173</v>
      </c>
      <c r="K194" s="1" t="s">
        <v>360</v>
      </c>
      <c r="M194" t="s">
        <v>15</v>
      </c>
      <c r="N194" t="str">
        <f t="shared" si="6"/>
        <v>LMIC</v>
      </c>
      <c r="O194">
        <f t="shared" si="8"/>
        <v>0</v>
      </c>
      <c r="P194">
        <f t="shared" si="8"/>
        <v>0</v>
      </c>
      <c r="Q194">
        <f t="shared" si="8"/>
        <v>1</v>
      </c>
    </row>
    <row r="195" spans="1:17" x14ac:dyDescent="0.25">
      <c r="A195" t="s">
        <v>15</v>
      </c>
      <c r="B195">
        <v>2017</v>
      </c>
      <c r="C195">
        <v>7.0615034168564916</v>
      </c>
      <c r="D195">
        <v>16.38</v>
      </c>
      <c r="E195">
        <v>25</v>
      </c>
      <c r="F195" t="s">
        <v>640</v>
      </c>
      <c r="G195">
        <v>10.68</v>
      </c>
      <c r="I195" s="1" t="s">
        <v>424</v>
      </c>
      <c r="J195" s="1" t="s">
        <v>174</v>
      </c>
      <c r="K195" s="1" t="s">
        <v>360</v>
      </c>
      <c r="M195" t="s">
        <v>15</v>
      </c>
      <c r="N195" t="str">
        <f t="shared" ref="N195:N209" si="9">VLOOKUP(M195,J:K,2,FALSE)</f>
        <v>LMIC</v>
      </c>
      <c r="O195">
        <f t="shared" si="8"/>
        <v>0</v>
      </c>
      <c r="P195">
        <f t="shared" si="8"/>
        <v>0</v>
      </c>
      <c r="Q195">
        <f t="shared" si="8"/>
        <v>1</v>
      </c>
    </row>
    <row r="196" spans="1:17" x14ac:dyDescent="0.25">
      <c r="A196" t="s">
        <v>15</v>
      </c>
      <c r="B196">
        <v>2018</v>
      </c>
      <c r="C196">
        <v>8.9361702127659584</v>
      </c>
      <c r="D196">
        <v>19.399999999999999</v>
      </c>
      <c r="E196">
        <v>25</v>
      </c>
      <c r="F196" t="s">
        <v>641</v>
      </c>
      <c r="G196">
        <v>10.71</v>
      </c>
      <c r="I196" s="1" t="s">
        <v>425</v>
      </c>
      <c r="J196" s="1" t="s">
        <v>22</v>
      </c>
      <c r="K196" s="1" t="s">
        <v>360</v>
      </c>
      <c r="M196" t="s">
        <v>15</v>
      </c>
      <c r="N196" t="str">
        <f t="shared" si="9"/>
        <v>LMIC</v>
      </c>
      <c r="O196">
        <f t="shared" si="8"/>
        <v>0</v>
      </c>
      <c r="P196">
        <f t="shared" si="8"/>
        <v>0</v>
      </c>
      <c r="Q196">
        <f t="shared" si="8"/>
        <v>1</v>
      </c>
    </row>
    <row r="197" spans="1:17" x14ac:dyDescent="0.25">
      <c r="A197" t="s">
        <v>15</v>
      </c>
      <c r="B197">
        <v>2019</v>
      </c>
      <c r="C197">
        <v>43.75</v>
      </c>
      <c r="D197">
        <v>23.19</v>
      </c>
      <c r="E197">
        <v>25</v>
      </c>
      <c r="F197" t="s">
        <v>642</v>
      </c>
      <c r="G197">
        <v>10.9</v>
      </c>
      <c r="I197" s="1" t="s">
        <v>426</v>
      </c>
      <c r="J197" s="1" t="s">
        <v>7</v>
      </c>
      <c r="K197" s="1" t="s">
        <v>360</v>
      </c>
      <c r="M197" t="s">
        <v>15</v>
      </c>
      <c r="N197" t="str">
        <f t="shared" si="9"/>
        <v>LMIC</v>
      </c>
      <c r="O197">
        <f t="shared" si="8"/>
        <v>0</v>
      </c>
      <c r="P197">
        <f t="shared" si="8"/>
        <v>0</v>
      </c>
      <c r="Q197">
        <f t="shared" si="8"/>
        <v>1</v>
      </c>
    </row>
    <row r="198" spans="1:17" x14ac:dyDescent="0.25">
      <c r="A198" t="s">
        <v>15</v>
      </c>
      <c r="B198">
        <v>2020</v>
      </c>
      <c r="C198">
        <v>5.2989130434782608</v>
      </c>
      <c r="D198">
        <v>30.31</v>
      </c>
      <c r="E198">
        <v>25</v>
      </c>
      <c r="F198" t="s">
        <v>643</v>
      </c>
      <c r="G198">
        <v>9.9</v>
      </c>
      <c r="I198" s="1" t="s">
        <v>427</v>
      </c>
      <c r="J198" s="1" t="s">
        <v>177</v>
      </c>
      <c r="K198" s="1" t="s">
        <v>360</v>
      </c>
      <c r="M198" t="s">
        <v>15</v>
      </c>
      <c r="N198" t="str">
        <f t="shared" si="9"/>
        <v>LMIC</v>
      </c>
      <c r="O198">
        <f t="shared" si="8"/>
        <v>0</v>
      </c>
      <c r="P198">
        <f t="shared" si="8"/>
        <v>0</v>
      </c>
      <c r="Q198">
        <f t="shared" si="8"/>
        <v>1</v>
      </c>
    </row>
    <row r="199" spans="1:17" x14ac:dyDescent="0.25">
      <c r="A199" t="s">
        <v>15</v>
      </c>
      <c r="B199">
        <v>2021</v>
      </c>
      <c r="C199">
        <v>163.09677419354838</v>
      </c>
      <c r="D199">
        <v>20.02</v>
      </c>
      <c r="E199">
        <v>25</v>
      </c>
      <c r="F199" t="s">
        <v>644</v>
      </c>
      <c r="G199">
        <v>11.25</v>
      </c>
      <c r="I199" s="1" t="s">
        <v>428</v>
      </c>
      <c r="J199" s="1" t="s">
        <v>48</v>
      </c>
      <c r="K199" s="1" t="s">
        <v>360</v>
      </c>
      <c r="M199" t="s">
        <v>15</v>
      </c>
      <c r="N199" t="str">
        <f t="shared" si="9"/>
        <v>LMIC</v>
      </c>
      <c r="O199">
        <f t="shared" si="8"/>
        <v>0</v>
      </c>
      <c r="P199">
        <f t="shared" si="8"/>
        <v>0</v>
      </c>
      <c r="Q199">
        <f t="shared" si="8"/>
        <v>1</v>
      </c>
    </row>
    <row r="200" spans="1:17" x14ac:dyDescent="0.25">
      <c r="A200" t="s">
        <v>15</v>
      </c>
      <c r="B200">
        <v>2022</v>
      </c>
      <c r="C200">
        <v>10.250122609122119</v>
      </c>
      <c r="D200">
        <v>16.73</v>
      </c>
      <c r="E200">
        <v>25</v>
      </c>
      <c r="F200" t="s">
        <v>645</v>
      </c>
      <c r="G200">
        <v>10.77</v>
      </c>
      <c r="I200" s="1" t="s">
        <v>429</v>
      </c>
      <c r="J200" s="1" t="s">
        <v>181</v>
      </c>
      <c r="K200" s="1" t="s">
        <v>360</v>
      </c>
      <c r="M200" t="s">
        <v>15</v>
      </c>
      <c r="N200" t="str">
        <f t="shared" si="9"/>
        <v>LMIC</v>
      </c>
      <c r="O200">
        <f t="shared" si="8"/>
        <v>0</v>
      </c>
      <c r="P200">
        <f t="shared" si="8"/>
        <v>0</v>
      </c>
      <c r="Q200">
        <f t="shared" si="8"/>
        <v>1</v>
      </c>
    </row>
    <row r="201" spans="1:17" x14ac:dyDescent="0.25">
      <c r="A201" t="s">
        <v>15</v>
      </c>
      <c r="B201">
        <v>2023</v>
      </c>
      <c r="C201">
        <v>4.4483985765124556</v>
      </c>
      <c r="D201">
        <v>18.670000000000002</v>
      </c>
      <c r="E201">
        <v>25</v>
      </c>
      <c r="F201" t="s">
        <v>646</v>
      </c>
      <c r="G201">
        <v>11.58</v>
      </c>
      <c r="I201" s="1" t="s">
        <v>430</v>
      </c>
      <c r="J201" s="1" t="s">
        <v>183</v>
      </c>
      <c r="K201" s="1" t="s">
        <v>360</v>
      </c>
      <c r="M201" t="s">
        <v>15</v>
      </c>
      <c r="N201" t="str">
        <f t="shared" si="9"/>
        <v>LMIC</v>
      </c>
      <c r="O201">
        <f t="shared" si="8"/>
        <v>0</v>
      </c>
      <c r="P201">
        <f t="shared" si="8"/>
        <v>0</v>
      </c>
      <c r="Q201">
        <f t="shared" si="8"/>
        <v>1</v>
      </c>
    </row>
    <row r="202" spans="1:17" x14ac:dyDescent="0.25">
      <c r="A202" t="s">
        <v>29</v>
      </c>
      <c r="B202">
        <v>2016</v>
      </c>
      <c r="C202">
        <v>-3.671997590068929</v>
      </c>
      <c r="D202">
        <v>8.7200000000000006</v>
      </c>
      <c r="E202">
        <v>26</v>
      </c>
      <c r="F202" t="s">
        <v>647</v>
      </c>
      <c r="G202">
        <v>14.12</v>
      </c>
      <c r="I202" s="1" t="s">
        <v>431</v>
      </c>
      <c r="J202" s="1" t="s">
        <v>184</v>
      </c>
      <c r="K202" s="1" t="s">
        <v>360</v>
      </c>
      <c r="M202" t="s">
        <v>29</v>
      </c>
      <c r="N202" t="str">
        <f t="shared" si="9"/>
        <v>UMIC</v>
      </c>
      <c r="O202">
        <f t="shared" si="8"/>
        <v>0</v>
      </c>
      <c r="P202">
        <f t="shared" si="8"/>
        <v>1</v>
      </c>
      <c r="Q202">
        <f t="shared" si="8"/>
        <v>0</v>
      </c>
    </row>
    <row r="203" spans="1:17" x14ac:dyDescent="0.25">
      <c r="A203" t="s">
        <v>29</v>
      </c>
      <c r="B203">
        <v>2017</v>
      </c>
      <c r="C203">
        <v>-5.8642868478291215</v>
      </c>
      <c r="D203">
        <v>11.34</v>
      </c>
      <c r="E203">
        <v>26</v>
      </c>
      <c r="F203" t="s">
        <v>648</v>
      </c>
      <c r="G203">
        <v>14.25</v>
      </c>
      <c r="I203" s="1" t="s">
        <v>432</v>
      </c>
      <c r="J203" s="1" t="s">
        <v>185</v>
      </c>
      <c r="K203" s="1" t="s">
        <v>360</v>
      </c>
      <c r="M203" t="s">
        <v>29</v>
      </c>
      <c r="N203" t="str">
        <f t="shared" si="9"/>
        <v>UMIC</v>
      </c>
      <c r="O203">
        <f t="shared" si="8"/>
        <v>0</v>
      </c>
      <c r="P203">
        <f t="shared" si="8"/>
        <v>1</v>
      </c>
      <c r="Q203">
        <f t="shared" si="8"/>
        <v>0</v>
      </c>
    </row>
    <row r="204" spans="1:17" x14ac:dyDescent="0.25">
      <c r="A204" t="s">
        <v>29</v>
      </c>
      <c r="B204">
        <v>2018</v>
      </c>
      <c r="C204">
        <v>-7.7982665780783629</v>
      </c>
      <c r="D204">
        <v>12.21</v>
      </c>
      <c r="E204">
        <v>26</v>
      </c>
      <c r="F204" t="s">
        <v>649</v>
      </c>
      <c r="G204">
        <v>14.45</v>
      </c>
      <c r="I204" s="1" t="s">
        <v>433</v>
      </c>
      <c r="J204" s="1" t="s">
        <v>4</v>
      </c>
      <c r="K204" s="1" t="s">
        <v>360</v>
      </c>
      <c r="M204" t="s">
        <v>29</v>
      </c>
      <c r="N204" t="str">
        <f t="shared" si="9"/>
        <v>UMIC</v>
      </c>
      <c r="O204">
        <f t="shared" si="8"/>
        <v>0</v>
      </c>
      <c r="P204">
        <f t="shared" si="8"/>
        <v>1</v>
      </c>
      <c r="Q204">
        <f t="shared" si="8"/>
        <v>0</v>
      </c>
    </row>
    <row r="205" spans="1:17" x14ac:dyDescent="0.25">
      <c r="A205" t="s">
        <v>29</v>
      </c>
      <c r="B205">
        <v>2019</v>
      </c>
      <c r="C205">
        <v>4.4537824616044067E-2</v>
      </c>
      <c r="D205">
        <v>19.649999999999999</v>
      </c>
      <c r="E205">
        <v>26</v>
      </c>
      <c r="F205" t="s">
        <v>650</v>
      </c>
      <c r="G205">
        <v>15.32</v>
      </c>
      <c r="I205" s="1" t="s">
        <v>434</v>
      </c>
      <c r="J205" s="1" t="s">
        <v>24</v>
      </c>
      <c r="K205" s="1" t="s">
        <v>360</v>
      </c>
      <c r="M205" t="s">
        <v>29</v>
      </c>
      <c r="N205" t="str">
        <f t="shared" si="9"/>
        <v>UMIC</v>
      </c>
      <c r="O205">
        <f t="shared" si="8"/>
        <v>0</v>
      </c>
      <c r="P205">
        <f t="shared" si="8"/>
        <v>1</v>
      </c>
      <c r="Q205">
        <f t="shared" si="8"/>
        <v>0</v>
      </c>
    </row>
    <row r="206" spans="1:17" x14ac:dyDescent="0.25">
      <c r="A206" t="s">
        <v>29</v>
      </c>
      <c r="B206">
        <v>2020</v>
      </c>
      <c r="C206">
        <v>-0.19305824558024268</v>
      </c>
      <c r="D206">
        <v>17.28</v>
      </c>
      <c r="E206">
        <v>26</v>
      </c>
      <c r="F206" t="s">
        <v>651</v>
      </c>
      <c r="G206">
        <v>15.45</v>
      </c>
      <c r="I206" s="1" t="s">
        <v>435</v>
      </c>
      <c r="J206" s="1" t="s">
        <v>191</v>
      </c>
      <c r="K206" s="1" t="s">
        <v>360</v>
      </c>
      <c r="M206" t="s">
        <v>29</v>
      </c>
      <c r="N206" t="str">
        <f t="shared" si="9"/>
        <v>UMIC</v>
      </c>
      <c r="O206">
        <f t="shared" si="8"/>
        <v>0</v>
      </c>
      <c r="P206">
        <f t="shared" si="8"/>
        <v>1</v>
      </c>
      <c r="Q206">
        <f t="shared" si="8"/>
        <v>0</v>
      </c>
    </row>
    <row r="207" spans="1:17" x14ac:dyDescent="0.25">
      <c r="A207" t="s">
        <v>29</v>
      </c>
      <c r="B207">
        <v>2021</v>
      </c>
      <c r="C207">
        <v>-9.0801730049166718</v>
      </c>
      <c r="D207">
        <v>13.21</v>
      </c>
      <c r="E207">
        <v>26</v>
      </c>
      <c r="F207" t="s">
        <v>652</v>
      </c>
      <c r="G207">
        <v>13.84</v>
      </c>
      <c r="I207" s="1" t="s">
        <v>436</v>
      </c>
      <c r="J207" s="1" t="s">
        <v>193</v>
      </c>
      <c r="K207" s="1" t="s">
        <v>360</v>
      </c>
      <c r="M207" t="s">
        <v>29</v>
      </c>
      <c r="N207" t="str">
        <f t="shared" si="9"/>
        <v>UMIC</v>
      </c>
      <c r="O207">
        <f t="shared" si="8"/>
        <v>0</v>
      </c>
      <c r="P207">
        <f t="shared" si="8"/>
        <v>1</v>
      </c>
      <c r="Q207">
        <f t="shared" si="8"/>
        <v>0</v>
      </c>
    </row>
    <row r="208" spans="1:17" x14ac:dyDescent="0.25">
      <c r="A208" t="s">
        <v>29</v>
      </c>
      <c r="B208">
        <v>2022</v>
      </c>
      <c r="C208">
        <v>-13.338666095479827</v>
      </c>
      <c r="D208">
        <v>10.67</v>
      </c>
      <c r="E208">
        <v>26</v>
      </c>
      <c r="F208" t="s">
        <v>653</v>
      </c>
      <c r="G208">
        <v>14.49</v>
      </c>
      <c r="I208" s="1" t="s">
        <v>437</v>
      </c>
      <c r="J208" s="1" t="s">
        <v>2</v>
      </c>
      <c r="K208" s="1" t="s">
        <v>360</v>
      </c>
      <c r="M208" t="s">
        <v>29</v>
      </c>
      <c r="N208" t="str">
        <f t="shared" si="9"/>
        <v>UMIC</v>
      </c>
      <c r="O208">
        <f t="shared" si="8"/>
        <v>0</v>
      </c>
      <c r="P208">
        <f t="shared" si="8"/>
        <v>1</v>
      </c>
      <c r="Q208">
        <f t="shared" si="8"/>
        <v>0</v>
      </c>
    </row>
    <row r="209" spans="1:17" x14ac:dyDescent="0.25">
      <c r="A209" t="s">
        <v>29</v>
      </c>
      <c r="B209">
        <v>2023</v>
      </c>
      <c r="C209">
        <v>4.3801913875598091</v>
      </c>
      <c r="D209">
        <v>10.45</v>
      </c>
      <c r="E209">
        <v>26</v>
      </c>
      <c r="F209" t="s">
        <v>654</v>
      </c>
      <c r="G209">
        <v>15.35</v>
      </c>
      <c r="I209" s="1" t="s">
        <v>438</v>
      </c>
      <c r="J209" s="1" t="s">
        <v>42</v>
      </c>
      <c r="K209" s="1" t="s">
        <v>360</v>
      </c>
      <c r="M209" t="s">
        <v>29</v>
      </c>
      <c r="N209" t="str">
        <f t="shared" si="9"/>
        <v>UMIC</v>
      </c>
      <c r="O209">
        <f t="shared" si="8"/>
        <v>0</v>
      </c>
      <c r="P209">
        <f t="shared" si="8"/>
        <v>1</v>
      </c>
      <c r="Q209">
        <f t="shared" si="8"/>
        <v>0</v>
      </c>
    </row>
    <row r="210" spans="1:17" x14ac:dyDescent="0.25">
      <c r="I210" s="1" t="s">
        <v>439</v>
      </c>
      <c r="J210" s="1" t="s">
        <v>201</v>
      </c>
      <c r="K210" s="1" t="s">
        <v>360</v>
      </c>
    </row>
    <row r="211" spans="1:17" x14ac:dyDescent="0.25">
      <c r="I211" s="1" t="s">
        <v>440</v>
      </c>
      <c r="J211" s="1" t="s">
        <v>205</v>
      </c>
      <c r="K211" s="1" t="s">
        <v>360</v>
      </c>
    </row>
    <row r="212" spans="1:17" x14ac:dyDescent="0.25">
      <c r="I212" s="1" t="s">
        <v>441</v>
      </c>
      <c r="J212" s="1" t="s">
        <v>207</v>
      </c>
      <c r="K212" s="1" t="s">
        <v>360</v>
      </c>
    </row>
    <row r="213" spans="1:17" x14ac:dyDescent="0.25">
      <c r="I213" s="1" t="s">
        <v>442</v>
      </c>
      <c r="J213" s="1" t="s">
        <v>208</v>
      </c>
      <c r="K213" s="1" t="s">
        <v>360</v>
      </c>
    </row>
    <row r="214" spans="1:17" x14ac:dyDescent="0.25">
      <c r="I214" s="1" t="s">
        <v>443</v>
      </c>
      <c r="J214" s="1" t="s">
        <v>209</v>
      </c>
      <c r="K214" s="1" t="s">
        <v>360</v>
      </c>
    </row>
    <row r="215" spans="1:17" x14ac:dyDescent="0.25">
      <c r="I215" s="1" t="s">
        <v>444</v>
      </c>
      <c r="J215" s="1" t="s">
        <v>210</v>
      </c>
      <c r="K215" s="1" t="s">
        <v>360</v>
      </c>
    </row>
    <row r="216" spans="1:17" x14ac:dyDescent="0.25">
      <c r="I216" s="1" t="s">
        <v>445</v>
      </c>
      <c r="J216" s="1" t="s">
        <v>215</v>
      </c>
      <c r="K216" s="1" t="s">
        <v>360</v>
      </c>
    </row>
    <row r="217" spans="1:17" x14ac:dyDescent="0.25">
      <c r="I217" t="s">
        <v>446</v>
      </c>
      <c r="J217" s="3" t="s">
        <v>106</v>
      </c>
      <c r="K217" s="4" t="s">
        <v>228</v>
      </c>
    </row>
  </sheetData>
  <sortState ref="E2:E209">
    <sortCondition ref="E2:E20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65A8-2E7F-4523-A5EF-ED68521B71EE}">
  <dimension ref="A1:AX247"/>
  <sheetViews>
    <sheetView workbookViewId="0">
      <selection activeCell="R1" sqref="R1"/>
    </sheetView>
  </sheetViews>
  <sheetFormatPr defaultRowHeight="15" x14ac:dyDescent="0.25"/>
  <sheetData>
    <row r="1" spans="1:50" x14ac:dyDescent="0.25">
      <c r="A1" s="6" t="s">
        <v>225</v>
      </c>
      <c r="B1" s="7" t="s">
        <v>655</v>
      </c>
      <c r="C1" s="6" t="s">
        <v>656</v>
      </c>
      <c r="D1" s="6" t="s">
        <v>657</v>
      </c>
      <c r="E1" s="6" t="s">
        <v>658</v>
      </c>
      <c r="F1" s="6" t="s">
        <v>659</v>
      </c>
      <c r="G1" s="6" t="s">
        <v>660</v>
      </c>
      <c r="H1" s="6" t="s">
        <v>661</v>
      </c>
      <c r="I1" s="6" t="s">
        <v>662</v>
      </c>
      <c r="J1" s="6" t="s">
        <v>663</v>
      </c>
      <c r="K1" s="6" t="s">
        <v>664</v>
      </c>
      <c r="N1" s="6" t="s">
        <v>656</v>
      </c>
      <c r="O1" s="6" t="s">
        <v>657</v>
      </c>
      <c r="P1" s="6" t="s">
        <v>658</v>
      </c>
      <c r="Q1" s="6" t="s">
        <v>659</v>
      </c>
      <c r="R1" s="6" t="s">
        <v>660</v>
      </c>
      <c r="S1" s="6" t="s">
        <v>661</v>
      </c>
      <c r="T1" s="6" t="s">
        <v>662</v>
      </c>
      <c r="U1" s="6" t="s">
        <v>663</v>
      </c>
      <c r="V1" s="6" t="s">
        <v>664</v>
      </c>
      <c r="Y1" t="s">
        <v>30</v>
      </c>
      <c r="Z1" t="s">
        <v>21</v>
      </c>
      <c r="AA1" t="s">
        <v>16</v>
      </c>
      <c r="AB1" t="s">
        <v>20</v>
      </c>
      <c r="AC1" t="s">
        <v>11</v>
      </c>
      <c r="AD1" t="s">
        <v>10</v>
      </c>
      <c r="AE1" t="s">
        <v>24</v>
      </c>
      <c r="AF1" t="s">
        <v>1</v>
      </c>
      <c r="AG1" t="s">
        <v>8</v>
      </c>
      <c r="AH1" t="s">
        <v>13</v>
      </c>
      <c r="AI1" t="s">
        <v>6</v>
      </c>
      <c r="AJ1" t="s">
        <v>17</v>
      </c>
      <c r="AK1" t="s">
        <v>23</v>
      </c>
      <c r="AL1" t="s">
        <v>9</v>
      </c>
      <c r="AM1" t="s">
        <v>5</v>
      </c>
      <c r="AN1" t="s">
        <v>14</v>
      </c>
      <c r="AO1" t="s">
        <v>26</v>
      </c>
      <c r="AP1" t="s">
        <v>3</v>
      </c>
      <c r="AQ1" t="s">
        <v>27</v>
      </c>
      <c r="AR1" t="s">
        <v>18</v>
      </c>
      <c r="AS1" t="s">
        <v>12</v>
      </c>
      <c r="AT1" t="s">
        <v>22</v>
      </c>
      <c r="AU1" t="s">
        <v>7</v>
      </c>
      <c r="AV1" t="s">
        <v>4</v>
      </c>
      <c r="AW1" t="s">
        <v>15</v>
      </c>
      <c r="AX1" t="s">
        <v>29</v>
      </c>
    </row>
    <row r="2" spans="1:50" x14ac:dyDescent="0.25">
      <c r="A2" s="5" t="s">
        <v>65</v>
      </c>
      <c r="B2" s="5" t="s">
        <v>665</v>
      </c>
      <c r="C2" s="5">
        <v>33.07</v>
      </c>
      <c r="D2" s="5">
        <v>32.85</v>
      </c>
      <c r="E2" s="5">
        <v>32.4</v>
      </c>
      <c r="F2" s="5">
        <v>32.79</v>
      </c>
      <c r="G2" s="5">
        <v>32.880000000000003</v>
      </c>
      <c r="H2" s="5">
        <v>32.46</v>
      </c>
      <c r="I2" s="5">
        <v>32.28</v>
      </c>
      <c r="J2" s="5">
        <v>32.89</v>
      </c>
      <c r="K2" s="5">
        <v>33.11</v>
      </c>
      <c r="M2" t="s">
        <v>30</v>
      </c>
      <c r="N2">
        <f>VLOOKUP($M2,$A:$K,3,FALSE)</f>
        <v>13.81</v>
      </c>
      <c r="O2">
        <f>VLOOKUP($M2,$A:$K,4,FALSE)</f>
        <v>14.18</v>
      </c>
      <c r="P2">
        <f>VLOOKUP($M2,$A:$K,5,FALSE)</f>
        <v>15.12</v>
      </c>
      <c r="Q2">
        <f>VLOOKUP($M2,$A:$K,6,FALSE)</f>
        <v>14.34</v>
      </c>
      <c r="R2">
        <f>VLOOKUP($M2,$A:$K,7,FALSE)</f>
        <v>13.99</v>
      </c>
      <c r="S2">
        <f>VLOOKUP($M2,$A:$K,8,FALSE)</f>
        <v>15.05</v>
      </c>
      <c r="T2">
        <f>VLOOKUP($M2,$A:$K,9,FALSE)</f>
        <v>14.55</v>
      </c>
      <c r="U2">
        <f>VLOOKUP($M2,$A:$K,10,FALSE)</f>
        <v>14.86</v>
      </c>
      <c r="V2">
        <f>VLOOKUP($M2,$A:$K,11,FALSE)</f>
        <v>14.6</v>
      </c>
      <c r="X2" t="s">
        <v>656</v>
      </c>
    </row>
    <row r="3" spans="1:50" x14ac:dyDescent="0.25">
      <c r="A3" s="5" t="s">
        <v>56</v>
      </c>
      <c r="B3" s="5" t="s">
        <v>227</v>
      </c>
      <c r="C3" s="5">
        <v>21.73</v>
      </c>
      <c r="D3" s="5">
        <v>21.52</v>
      </c>
      <c r="E3" s="5">
        <v>21.58</v>
      </c>
      <c r="F3" s="5">
        <v>21.17</v>
      </c>
      <c r="G3" s="5">
        <v>20.47</v>
      </c>
      <c r="H3" s="5">
        <v>22.08</v>
      </c>
      <c r="I3" s="5">
        <v>21.64</v>
      </c>
      <c r="J3" s="5">
        <v>21.94</v>
      </c>
      <c r="K3" s="5">
        <v>21.5</v>
      </c>
      <c r="M3" t="s">
        <v>21</v>
      </c>
      <c r="N3">
        <f t="shared" ref="N3:N27" si="0">VLOOKUP($M3,$A:$K,3,FALSE)</f>
        <v>14.9</v>
      </c>
      <c r="O3">
        <f t="shared" ref="O3:O27" si="1">VLOOKUP($M3,$A:$K,4,FALSE)</f>
        <v>15.28</v>
      </c>
      <c r="P3">
        <f t="shared" ref="P3:P27" si="2">VLOOKUP($M3,$A:$K,5,FALSE)</f>
        <v>16.25</v>
      </c>
      <c r="Q3">
        <f t="shared" ref="Q3:Q27" si="3">VLOOKUP($M3,$A:$K,6,FALSE)</f>
        <v>15.88</v>
      </c>
      <c r="R3">
        <f t="shared" ref="R3:R27" si="4">VLOOKUP($M3,$A:$K,7,FALSE)</f>
        <v>16.36</v>
      </c>
      <c r="S3">
        <f t="shared" ref="S3:S27" si="5">VLOOKUP($M3,$A:$K,8,FALSE)</f>
        <v>14.58</v>
      </c>
      <c r="T3">
        <f t="shared" ref="T3:T27" si="6">VLOOKUP($M3,$A:$K,9,FALSE)</f>
        <v>16.61</v>
      </c>
      <c r="U3">
        <f t="shared" ref="U3:U27" si="7">VLOOKUP($M3,$A:$K,10,FALSE)</f>
        <v>16.14</v>
      </c>
      <c r="V3">
        <f t="shared" ref="V3:V27" si="8">VLOOKUP($M3,$A:$K,11,FALSE)</f>
        <v>15.76</v>
      </c>
      <c r="X3" t="s">
        <v>657</v>
      </c>
    </row>
    <row r="4" spans="1:50" x14ac:dyDescent="0.25">
      <c r="A4" s="5" t="s">
        <v>62</v>
      </c>
      <c r="B4" s="5" t="s">
        <v>253</v>
      </c>
      <c r="C4" s="5">
        <v>28.81</v>
      </c>
      <c r="D4" s="5">
        <v>28.65</v>
      </c>
      <c r="E4" s="5">
        <v>28.52</v>
      </c>
      <c r="F4" s="5">
        <v>28.67</v>
      </c>
      <c r="G4" s="5">
        <v>28.58</v>
      </c>
      <c r="H4" s="5">
        <v>28.58</v>
      </c>
      <c r="I4" s="5">
        <v>28.48</v>
      </c>
      <c r="J4" s="5">
        <v>28.41</v>
      </c>
      <c r="K4" s="5">
        <v>28.55</v>
      </c>
      <c r="M4" t="s">
        <v>16</v>
      </c>
      <c r="N4">
        <f t="shared" si="0"/>
        <v>34.19</v>
      </c>
      <c r="O4">
        <f t="shared" si="1"/>
        <v>34.08</v>
      </c>
      <c r="P4">
        <f t="shared" si="2"/>
        <v>33.96</v>
      </c>
      <c r="Q4">
        <f t="shared" si="3"/>
        <v>33.93</v>
      </c>
      <c r="R4">
        <f t="shared" si="4"/>
        <v>34.08</v>
      </c>
      <c r="S4">
        <f t="shared" si="5"/>
        <v>34.39</v>
      </c>
      <c r="T4">
        <f t="shared" si="6"/>
        <v>33.619999999999997</v>
      </c>
      <c r="U4">
        <f t="shared" si="7"/>
        <v>34.380000000000003</v>
      </c>
      <c r="V4">
        <f t="shared" si="8"/>
        <v>34.28</v>
      </c>
      <c r="X4" t="s">
        <v>658</v>
      </c>
    </row>
    <row r="5" spans="1:50" x14ac:dyDescent="0.25">
      <c r="A5" s="5" t="s">
        <v>666</v>
      </c>
      <c r="B5" s="5" t="s">
        <v>667</v>
      </c>
      <c r="C5" s="5">
        <v>31.15</v>
      </c>
      <c r="D5" s="5">
        <v>30.95</v>
      </c>
      <c r="E5" s="5">
        <v>30.68</v>
      </c>
      <c r="F5" s="5">
        <v>31.07</v>
      </c>
      <c r="G5" s="5">
        <v>31.08</v>
      </c>
      <c r="H5" s="5">
        <v>30.95</v>
      </c>
      <c r="I5" s="5">
        <v>30.81</v>
      </c>
      <c r="J5" s="5">
        <v>31.28</v>
      </c>
      <c r="K5" s="5">
        <v>31.7</v>
      </c>
      <c r="M5" t="s">
        <v>20</v>
      </c>
      <c r="N5">
        <f t="shared" si="0"/>
        <v>30.53</v>
      </c>
      <c r="O5">
        <f t="shared" si="1"/>
        <v>30.27</v>
      </c>
      <c r="P5">
        <f t="shared" si="2"/>
        <v>30.09</v>
      </c>
      <c r="Q5">
        <f t="shared" si="3"/>
        <v>30.36</v>
      </c>
      <c r="R5">
        <f t="shared" si="4"/>
        <v>30.1</v>
      </c>
      <c r="S5">
        <f t="shared" si="5"/>
        <v>30.57</v>
      </c>
      <c r="T5">
        <f t="shared" si="6"/>
        <v>30.45</v>
      </c>
      <c r="U5">
        <f t="shared" si="7"/>
        <v>30.81</v>
      </c>
      <c r="V5">
        <f t="shared" si="8"/>
        <v>30.65</v>
      </c>
      <c r="X5" t="s">
        <v>659</v>
      </c>
    </row>
    <row r="6" spans="1:50" x14ac:dyDescent="0.25">
      <c r="A6" s="5" t="s">
        <v>668</v>
      </c>
      <c r="B6" s="5" t="s">
        <v>668</v>
      </c>
      <c r="C6" s="5">
        <v>9.35</v>
      </c>
      <c r="D6" s="5">
        <v>9.06</v>
      </c>
      <c r="E6" s="5">
        <v>10.24</v>
      </c>
      <c r="F6" s="5">
        <v>10.16</v>
      </c>
      <c r="G6" s="5">
        <v>10.81</v>
      </c>
      <c r="H6" s="5">
        <v>9.43</v>
      </c>
      <c r="I6" s="5">
        <v>10.14</v>
      </c>
      <c r="J6" s="5">
        <v>9.8000000000000007</v>
      </c>
      <c r="K6" s="5">
        <v>10.5</v>
      </c>
      <c r="M6" t="s">
        <v>11</v>
      </c>
      <c r="N6">
        <f t="shared" si="0"/>
        <v>11.89</v>
      </c>
      <c r="O6">
        <f t="shared" si="1"/>
        <v>11.68</v>
      </c>
      <c r="P6">
        <f t="shared" si="2"/>
        <v>12.37</v>
      </c>
      <c r="Q6">
        <f t="shared" si="3"/>
        <v>13.21</v>
      </c>
      <c r="R6">
        <f t="shared" si="4"/>
        <v>13.34</v>
      </c>
      <c r="S6">
        <f t="shared" si="5"/>
        <v>11.66</v>
      </c>
      <c r="T6">
        <f t="shared" si="6"/>
        <v>12.26</v>
      </c>
      <c r="U6">
        <f t="shared" si="7"/>
        <v>13.15</v>
      </c>
      <c r="V6">
        <f t="shared" si="8"/>
        <v>13.78</v>
      </c>
      <c r="X6" t="s">
        <v>660</v>
      </c>
    </row>
    <row r="7" spans="1:50" x14ac:dyDescent="0.25">
      <c r="A7" s="5" t="s">
        <v>57</v>
      </c>
      <c r="B7" s="5" t="s">
        <v>304</v>
      </c>
      <c r="C7" s="5">
        <v>17.850000000000001</v>
      </c>
      <c r="D7" s="5">
        <v>18.04</v>
      </c>
      <c r="E7" s="5">
        <v>18.309999999999999</v>
      </c>
      <c r="F7" s="5">
        <v>18.350000000000001</v>
      </c>
      <c r="G7" s="5">
        <v>18.27</v>
      </c>
      <c r="H7" s="5">
        <v>17.78</v>
      </c>
      <c r="I7" s="5">
        <v>18.489999999999998</v>
      </c>
      <c r="J7" s="5">
        <v>18.8</v>
      </c>
      <c r="K7" s="5">
        <v>19.46</v>
      </c>
      <c r="M7" t="s">
        <v>10</v>
      </c>
      <c r="N7">
        <f t="shared" si="0"/>
        <v>12.34</v>
      </c>
      <c r="O7">
        <f t="shared" si="1"/>
        <v>12.12</v>
      </c>
      <c r="P7">
        <f t="shared" si="2"/>
        <v>13.16</v>
      </c>
      <c r="Q7">
        <f t="shared" si="3"/>
        <v>12.96</v>
      </c>
      <c r="R7">
        <f t="shared" si="4"/>
        <v>13.48</v>
      </c>
      <c r="S7">
        <f t="shared" si="5"/>
        <v>12.21</v>
      </c>
      <c r="T7">
        <f t="shared" si="6"/>
        <v>13.19</v>
      </c>
      <c r="U7">
        <f t="shared" si="7"/>
        <v>12.83</v>
      </c>
      <c r="V7">
        <f t="shared" si="8"/>
        <v>13.28</v>
      </c>
      <c r="X7" t="s">
        <v>661</v>
      </c>
    </row>
    <row r="8" spans="1:50" x14ac:dyDescent="0.25">
      <c r="A8" s="5" t="s">
        <v>60</v>
      </c>
      <c r="B8" s="5" t="s">
        <v>361</v>
      </c>
      <c r="C8" s="5">
        <v>13.35</v>
      </c>
      <c r="D8" s="5">
        <v>13.79</v>
      </c>
      <c r="E8" s="5">
        <v>13.85</v>
      </c>
      <c r="F8" s="5">
        <v>14.19</v>
      </c>
      <c r="G8" s="5">
        <v>14.02</v>
      </c>
      <c r="H8" s="5">
        <v>13.16</v>
      </c>
      <c r="I8" s="5">
        <v>15.06</v>
      </c>
      <c r="J8" s="5">
        <v>14.83</v>
      </c>
      <c r="K8" s="5">
        <v>13.97</v>
      </c>
      <c r="M8" t="s">
        <v>24</v>
      </c>
      <c r="N8">
        <f t="shared" si="0"/>
        <v>20.11</v>
      </c>
      <c r="O8">
        <f t="shared" si="1"/>
        <v>20.86</v>
      </c>
      <c r="P8">
        <f t="shared" si="2"/>
        <v>19.61</v>
      </c>
      <c r="Q8">
        <f t="shared" si="3"/>
        <v>20.39</v>
      </c>
      <c r="R8">
        <f t="shared" si="4"/>
        <v>20.48</v>
      </c>
      <c r="S8">
        <f t="shared" si="5"/>
        <v>20.14</v>
      </c>
      <c r="T8">
        <f t="shared" si="6"/>
        <v>21.04</v>
      </c>
      <c r="U8">
        <f t="shared" si="7"/>
        <v>21.17</v>
      </c>
      <c r="V8">
        <f t="shared" si="8"/>
        <v>20.88</v>
      </c>
      <c r="X8" t="s">
        <v>662</v>
      </c>
    </row>
    <row r="9" spans="1:50" x14ac:dyDescent="0.25">
      <c r="A9" s="5" t="s">
        <v>207</v>
      </c>
      <c r="B9" s="5" t="s">
        <v>441</v>
      </c>
      <c r="C9" s="5">
        <v>35.14</v>
      </c>
      <c r="D9" s="5">
        <v>34.97</v>
      </c>
      <c r="E9" s="5">
        <v>35.270000000000003</v>
      </c>
      <c r="F9" s="5">
        <v>34.81</v>
      </c>
      <c r="G9" s="5">
        <v>34.630000000000003</v>
      </c>
      <c r="H9" s="5">
        <v>35.450000000000003</v>
      </c>
      <c r="I9" s="5">
        <v>35.090000000000003</v>
      </c>
      <c r="J9" s="5">
        <v>35.369999999999997</v>
      </c>
      <c r="K9" s="5">
        <v>35.049999999999997</v>
      </c>
      <c r="M9" t="s">
        <v>1</v>
      </c>
      <c r="N9">
        <f t="shared" si="0"/>
        <v>9.9499999999999993</v>
      </c>
      <c r="O9">
        <f t="shared" si="1"/>
        <v>9.57</v>
      </c>
      <c r="P9">
        <f t="shared" si="2"/>
        <v>10.78</v>
      </c>
      <c r="Q9">
        <f t="shared" si="3"/>
        <v>11.03</v>
      </c>
      <c r="R9">
        <f t="shared" si="4"/>
        <v>11.63</v>
      </c>
      <c r="S9">
        <f t="shared" si="5"/>
        <v>10.02</v>
      </c>
      <c r="T9">
        <f t="shared" si="6"/>
        <v>10.67</v>
      </c>
      <c r="U9">
        <f t="shared" si="7"/>
        <v>10.66</v>
      </c>
      <c r="V9">
        <f t="shared" si="8"/>
        <v>11.35</v>
      </c>
      <c r="X9" t="s">
        <v>663</v>
      </c>
    </row>
    <row r="10" spans="1:50" x14ac:dyDescent="0.25">
      <c r="A10" s="5" t="s">
        <v>64</v>
      </c>
      <c r="B10" s="5" t="s">
        <v>307</v>
      </c>
      <c r="C10" s="5">
        <v>21.18</v>
      </c>
      <c r="D10" s="5">
        <v>21.84</v>
      </c>
      <c r="E10" s="5">
        <v>21.72</v>
      </c>
      <c r="F10" s="5">
        <v>21.63</v>
      </c>
      <c r="G10" s="5">
        <v>22.41</v>
      </c>
      <c r="H10" s="5">
        <v>22.22</v>
      </c>
      <c r="I10" s="5">
        <v>22.12</v>
      </c>
      <c r="J10" s="5">
        <v>22.53</v>
      </c>
      <c r="K10" s="5">
        <v>21.99</v>
      </c>
      <c r="M10" t="s">
        <v>8</v>
      </c>
      <c r="N10">
        <f t="shared" si="0"/>
        <v>6.91</v>
      </c>
      <c r="O10">
        <f t="shared" si="1"/>
        <v>6.32</v>
      </c>
      <c r="P10">
        <f t="shared" si="2"/>
        <v>7.63</v>
      </c>
      <c r="Q10">
        <f t="shared" si="3"/>
        <v>6.97</v>
      </c>
      <c r="R10">
        <f t="shared" si="4"/>
        <v>8.27</v>
      </c>
      <c r="S10">
        <f t="shared" si="5"/>
        <v>6.55</v>
      </c>
      <c r="T10">
        <f t="shared" si="6"/>
        <v>7.37</v>
      </c>
      <c r="U10">
        <f t="shared" si="7"/>
        <v>7.13</v>
      </c>
      <c r="V10">
        <f t="shared" si="8"/>
        <v>7.89</v>
      </c>
      <c r="X10" t="s">
        <v>664</v>
      </c>
    </row>
    <row r="11" spans="1:50" x14ac:dyDescent="0.25">
      <c r="A11" s="5" t="s">
        <v>30</v>
      </c>
      <c r="B11" s="5" t="s">
        <v>308</v>
      </c>
      <c r="C11" s="5">
        <v>13.81</v>
      </c>
      <c r="D11" s="5">
        <v>14.18</v>
      </c>
      <c r="E11" s="5">
        <v>15.12</v>
      </c>
      <c r="F11" s="5">
        <v>14.34</v>
      </c>
      <c r="G11" s="5">
        <v>13.99</v>
      </c>
      <c r="H11" s="5">
        <v>15.05</v>
      </c>
      <c r="I11" s="5">
        <v>14.55</v>
      </c>
      <c r="J11" s="5">
        <v>14.86</v>
      </c>
      <c r="K11" s="5">
        <v>14.6</v>
      </c>
      <c r="M11" t="s">
        <v>13</v>
      </c>
      <c r="N11">
        <f t="shared" si="0"/>
        <v>17.27</v>
      </c>
      <c r="O11">
        <f t="shared" si="1"/>
        <v>17.52</v>
      </c>
      <c r="P11">
        <f t="shared" si="2"/>
        <v>18.3</v>
      </c>
      <c r="Q11">
        <f t="shared" si="3"/>
        <v>18.32</v>
      </c>
      <c r="R11">
        <f t="shared" si="4"/>
        <v>17.84</v>
      </c>
      <c r="S11">
        <f t="shared" si="5"/>
        <v>17.170000000000002</v>
      </c>
      <c r="T11">
        <f t="shared" si="6"/>
        <v>18.440000000000001</v>
      </c>
      <c r="U11">
        <f t="shared" si="7"/>
        <v>18.489999999999998</v>
      </c>
      <c r="V11">
        <f t="shared" si="8"/>
        <v>18.91</v>
      </c>
    </row>
    <row r="12" spans="1:50" x14ac:dyDescent="0.25">
      <c r="A12" s="5" t="s">
        <v>59</v>
      </c>
      <c r="B12" s="5" t="s">
        <v>669</v>
      </c>
      <c r="C12" s="5">
        <v>30.09</v>
      </c>
      <c r="D12" s="5">
        <v>30</v>
      </c>
      <c r="E12" s="5">
        <v>29.88</v>
      </c>
      <c r="F12" s="5">
        <v>30.06</v>
      </c>
      <c r="G12" s="5">
        <v>30.14</v>
      </c>
      <c r="H12" s="5">
        <v>29.96</v>
      </c>
      <c r="I12" s="5">
        <v>30.09</v>
      </c>
      <c r="J12" s="5">
        <v>30.19</v>
      </c>
      <c r="K12" s="5">
        <v>30.47</v>
      </c>
      <c r="M12" t="s">
        <v>6</v>
      </c>
      <c r="N12">
        <f t="shared" si="0"/>
        <v>16.920000000000002</v>
      </c>
      <c r="O12">
        <f t="shared" si="1"/>
        <v>17.190000000000001</v>
      </c>
      <c r="P12">
        <f t="shared" si="2"/>
        <v>18.16</v>
      </c>
      <c r="Q12">
        <f t="shared" si="3"/>
        <v>18.3</v>
      </c>
      <c r="R12">
        <f t="shared" si="4"/>
        <v>17.489999999999998</v>
      </c>
      <c r="S12">
        <f t="shared" si="5"/>
        <v>16.8</v>
      </c>
      <c r="T12">
        <f t="shared" si="6"/>
        <v>17.96</v>
      </c>
      <c r="U12">
        <f t="shared" si="7"/>
        <v>18.22</v>
      </c>
      <c r="V12">
        <f t="shared" si="8"/>
        <v>18.809999999999999</v>
      </c>
    </row>
    <row r="13" spans="1:50" x14ac:dyDescent="0.25">
      <c r="A13" s="5" t="s">
        <v>670</v>
      </c>
      <c r="B13" s="5" t="s">
        <v>671</v>
      </c>
      <c r="C13" s="5">
        <v>8.0399999999999991</v>
      </c>
      <c r="D13" s="5">
        <v>7.9</v>
      </c>
      <c r="E13" s="5">
        <v>7.66</v>
      </c>
      <c r="F13" s="5">
        <v>7.53</v>
      </c>
      <c r="G13" s="5">
        <v>7.39</v>
      </c>
      <c r="H13" s="5">
        <v>7.61</v>
      </c>
      <c r="I13" s="5">
        <v>7.59</v>
      </c>
      <c r="J13" s="5">
        <v>8.39</v>
      </c>
      <c r="K13" s="5">
        <v>7.56</v>
      </c>
      <c r="M13" t="s">
        <v>17</v>
      </c>
      <c r="N13">
        <f t="shared" si="0"/>
        <v>13.21</v>
      </c>
      <c r="O13">
        <f t="shared" si="1"/>
        <v>13.39</v>
      </c>
      <c r="P13">
        <f t="shared" si="2"/>
        <v>13.36</v>
      </c>
      <c r="Q13">
        <f t="shared" si="3"/>
        <v>13.36</v>
      </c>
      <c r="R13">
        <f t="shared" si="4"/>
        <v>13.35</v>
      </c>
      <c r="S13">
        <f t="shared" si="5"/>
        <v>13.42</v>
      </c>
      <c r="T13">
        <f t="shared" si="6"/>
        <v>14.08</v>
      </c>
      <c r="U13">
        <f t="shared" si="7"/>
        <v>13.99</v>
      </c>
      <c r="V13">
        <f t="shared" si="8"/>
        <v>13.51</v>
      </c>
    </row>
    <row r="14" spans="1:50" x14ac:dyDescent="0.25">
      <c r="A14" s="5" t="s">
        <v>63</v>
      </c>
      <c r="B14" s="5" t="s">
        <v>362</v>
      </c>
      <c r="C14" s="5">
        <v>30.71</v>
      </c>
      <c r="D14" s="5">
        <v>30.48</v>
      </c>
      <c r="E14" s="5">
        <v>30.18</v>
      </c>
      <c r="F14" s="5">
        <v>30.52</v>
      </c>
      <c r="G14" s="5">
        <v>30.58</v>
      </c>
      <c r="H14" s="5">
        <v>30.44</v>
      </c>
      <c r="I14" s="5">
        <v>30.28</v>
      </c>
      <c r="J14" s="5">
        <v>30.79</v>
      </c>
      <c r="K14" s="5">
        <v>31.25</v>
      </c>
      <c r="M14" t="s">
        <v>23</v>
      </c>
      <c r="N14">
        <f t="shared" si="0"/>
        <v>17.75</v>
      </c>
      <c r="O14">
        <f t="shared" si="1"/>
        <v>17.809999999999999</v>
      </c>
      <c r="P14">
        <f t="shared" si="2"/>
        <v>18.23</v>
      </c>
      <c r="Q14">
        <f t="shared" si="3"/>
        <v>18.12</v>
      </c>
      <c r="R14">
        <f t="shared" si="4"/>
        <v>18.22</v>
      </c>
      <c r="S14">
        <f t="shared" si="5"/>
        <v>17.559999999999999</v>
      </c>
      <c r="T14">
        <f t="shared" si="6"/>
        <v>18.760000000000002</v>
      </c>
      <c r="U14">
        <f t="shared" si="7"/>
        <v>18.54</v>
      </c>
      <c r="V14">
        <f t="shared" si="8"/>
        <v>18.73</v>
      </c>
    </row>
    <row r="15" spans="1:50" x14ac:dyDescent="0.25">
      <c r="A15" s="5" t="s">
        <v>66</v>
      </c>
      <c r="B15" s="5" t="s">
        <v>364</v>
      </c>
      <c r="C15" s="5">
        <v>29.25</v>
      </c>
      <c r="D15" s="5">
        <v>29.8</v>
      </c>
      <c r="E15" s="5">
        <v>29.94</v>
      </c>
      <c r="F15" s="5">
        <v>30.33</v>
      </c>
      <c r="G15" s="5">
        <v>29.64</v>
      </c>
      <c r="H15" s="5">
        <v>29.11</v>
      </c>
      <c r="I15" s="5">
        <v>28.77</v>
      </c>
      <c r="J15" s="5">
        <v>29.65</v>
      </c>
      <c r="K15" s="5">
        <v>29.87</v>
      </c>
      <c r="M15" t="s">
        <v>9</v>
      </c>
      <c r="N15">
        <f t="shared" si="0"/>
        <v>11.54</v>
      </c>
      <c r="O15">
        <f t="shared" si="1"/>
        <v>11.17</v>
      </c>
      <c r="P15">
        <f t="shared" si="2"/>
        <v>12.28</v>
      </c>
      <c r="Q15">
        <f t="shared" si="3"/>
        <v>12.88</v>
      </c>
      <c r="R15">
        <f t="shared" si="4"/>
        <v>13.05</v>
      </c>
      <c r="S15">
        <f t="shared" si="5"/>
        <v>11.36</v>
      </c>
      <c r="T15">
        <f t="shared" si="6"/>
        <v>12.05</v>
      </c>
      <c r="U15">
        <f t="shared" si="7"/>
        <v>12.68</v>
      </c>
      <c r="V15">
        <f t="shared" si="8"/>
        <v>13.41</v>
      </c>
    </row>
    <row r="16" spans="1:50" x14ac:dyDescent="0.25">
      <c r="A16" s="5" t="s">
        <v>37</v>
      </c>
      <c r="B16" s="5" t="s">
        <v>365</v>
      </c>
      <c r="C16" s="5">
        <v>12.06</v>
      </c>
      <c r="D16" s="5">
        <v>12.29</v>
      </c>
      <c r="E16" s="5">
        <v>13.42</v>
      </c>
      <c r="F16" s="5">
        <v>13.15</v>
      </c>
      <c r="G16" s="5">
        <v>12.98</v>
      </c>
      <c r="H16" s="5">
        <v>11.81</v>
      </c>
      <c r="I16" s="5">
        <v>13.39</v>
      </c>
      <c r="J16" s="5">
        <v>13.4</v>
      </c>
      <c r="K16" s="5">
        <v>13.73</v>
      </c>
      <c r="M16" t="s">
        <v>5</v>
      </c>
      <c r="N16">
        <f t="shared" si="0"/>
        <v>10.85</v>
      </c>
      <c r="O16">
        <f t="shared" si="1"/>
        <v>10.52</v>
      </c>
      <c r="P16">
        <f t="shared" si="2"/>
        <v>11.61</v>
      </c>
      <c r="Q16">
        <f t="shared" si="3"/>
        <v>12.14</v>
      </c>
      <c r="R16">
        <f t="shared" si="4"/>
        <v>12.41</v>
      </c>
      <c r="S16">
        <f t="shared" si="5"/>
        <v>10.79</v>
      </c>
      <c r="T16">
        <f t="shared" si="6"/>
        <v>11.49</v>
      </c>
      <c r="U16">
        <f t="shared" si="7"/>
        <v>11.9</v>
      </c>
      <c r="V16">
        <f t="shared" si="8"/>
        <v>12.53</v>
      </c>
    </row>
    <row r="17" spans="1:22" x14ac:dyDescent="0.25">
      <c r="A17" s="5" t="s">
        <v>67</v>
      </c>
      <c r="B17" s="5" t="s">
        <v>309</v>
      </c>
      <c r="C17" s="5">
        <v>18.25</v>
      </c>
      <c r="D17" s="5">
        <v>18.940000000000001</v>
      </c>
      <c r="E17" s="5">
        <v>19.66</v>
      </c>
      <c r="F17" s="5">
        <v>19.03</v>
      </c>
      <c r="G17" s="5">
        <v>18.37</v>
      </c>
      <c r="H17" s="5">
        <v>19.22</v>
      </c>
      <c r="I17" s="5">
        <v>18.87</v>
      </c>
      <c r="J17" s="5">
        <v>19.27</v>
      </c>
      <c r="K17" s="5">
        <v>19.13</v>
      </c>
      <c r="M17" t="s">
        <v>14</v>
      </c>
      <c r="N17">
        <f t="shared" si="0"/>
        <v>23.48</v>
      </c>
      <c r="O17">
        <f t="shared" si="1"/>
        <v>23.26</v>
      </c>
      <c r="P17">
        <f t="shared" si="2"/>
        <v>23.11</v>
      </c>
      <c r="Q17">
        <f t="shared" si="3"/>
        <v>23.03</v>
      </c>
      <c r="R17">
        <f t="shared" si="4"/>
        <v>23.29</v>
      </c>
      <c r="S17">
        <f t="shared" si="5"/>
        <v>23.41</v>
      </c>
      <c r="T17">
        <f t="shared" si="6"/>
        <v>23.74</v>
      </c>
      <c r="U17">
        <f t="shared" si="7"/>
        <v>23.73</v>
      </c>
      <c r="V17">
        <f t="shared" si="8"/>
        <v>24.26</v>
      </c>
    </row>
    <row r="18" spans="1:22" x14ac:dyDescent="0.25">
      <c r="A18" s="5" t="s">
        <v>81</v>
      </c>
      <c r="B18" s="5" t="s">
        <v>230</v>
      </c>
      <c r="C18" s="5">
        <v>26.62</v>
      </c>
      <c r="D18" s="5">
        <v>26.75</v>
      </c>
      <c r="E18" s="5">
        <v>26.23</v>
      </c>
      <c r="F18" s="5">
        <v>26.53</v>
      </c>
      <c r="G18" s="5">
        <v>26.16</v>
      </c>
      <c r="H18" s="5">
        <v>26.53</v>
      </c>
      <c r="I18" s="5">
        <v>26.46</v>
      </c>
      <c r="J18" s="5">
        <v>26.7</v>
      </c>
      <c r="K18" s="5">
        <v>26.12</v>
      </c>
      <c r="M18" t="s">
        <v>26</v>
      </c>
      <c r="N18">
        <f t="shared" si="0"/>
        <v>14.7</v>
      </c>
      <c r="O18">
        <f t="shared" si="1"/>
        <v>14.9</v>
      </c>
      <c r="P18">
        <f t="shared" si="2"/>
        <v>15.33</v>
      </c>
      <c r="Q18">
        <f t="shared" si="3"/>
        <v>15.53</v>
      </c>
      <c r="R18">
        <f t="shared" si="4"/>
        <v>15.19</v>
      </c>
      <c r="S18">
        <f t="shared" si="5"/>
        <v>14.47</v>
      </c>
      <c r="T18">
        <f t="shared" si="6"/>
        <v>15.5</v>
      </c>
      <c r="U18">
        <f t="shared" si="7"/>
        <v>15.68</v>
      </c>
      <c r="V18">
        <f t="shared" si="8"/>
        <v>16.34</v>
      </c>
    </row>
    <row r="19" spans="1:22" x14ac:dyDescent="0.25">
      <c r="A19" s="5" t="s">
        <v>21</v>
      </c>
      <c r="B19" s="5" t="s">
        <v>369</v>
      </c>
      <c r="C19" s="5">
        <v>14.9</v>
      </c>
      <c r="D19" s="5">
        <v>15.28</v>
      </c>
      <c r="E19" s="5">
        <v>16.25</v>
      </c>
      <c r="F19" s="5">
        <v>15.88</v>
      </c>
      <c r="G19" s="5">
        <v>16.36</v>
      </c>
      <c r="H19" s="5">
        <v>14.58</v>
      </c>
      <c r="I19" s="5">
        <v>16.61</v>
      </c>
      <c r="J19" s="5">
        <v>16.14</v>
      </c>
      <c r="K19" s="5">
        <v>15.76</v>
      </c>
      <c r="M19" t="s">
        <v>3</v>
      </c>
      <c r="N19">
        <f t="shared" si="0"/>
        <v>5.88</v>
      </c>
      <c r="O19">
        <f t="shared" si="1"/>
        <v>5.56</v>
      </c>
      <c r="P19">
        <f t="shared" si="2"/>
        <v>6.2</v>
      </c>
      <c r="Q19">
        <f t="shared" si="3"/>
        <v>5.71</v>
      </c>
      <c r="R19">
        <f t="shared" si="4"/>
        <v>6.82</v>
      </c>
      <c r="S19">
        <f t="shared" si="5"/>
        <v>5.51</v>
      </c>
      <c r="T19">
        <f t="shared" si="6"/>
        <v>6.32</v>
      </c>
      <c r="U19">
        <f t="shared" si="7"/>
        <v>5.77</v>
      </c>
      <c r="V19">
        <f t="shared" si="8"/>
        <v>6.55</v>
      </c>
    </row>
    <row r="20" spans="1:22" x14ac:dyDescent="0.25">
      <c r="A20" s="5" t="s">
        <v>16</v>
      </c>
      <c r="B20" s="5" t="s">
        <v>256</v>
      </c>
      <c r="C20" s="5">
        <v>34.19</v>
      </c>
      <c r="D20" s="5">
        <v>34.08</v>
      </c>
      <c r="E20" s="5">
        <v>33.96</v>
      </c>
      <c r="F20" s="5">
        <v>33.93</v>
      </c>
      <c r="G20" s="5">
        <v>34.08</v>
      </c>
      <c r="H20" s="5">
        <v>34.39</v>
      </c>
      <c r="I20" s="5">
        <v>33.619999999999997</v>
      </c>
      <c r="J20" s="5">
        <v>34.380000000000003</v>
      </c>
      <c r="K20" s="5">
        <v>34.28</v>
      </c>
      <c r="M20" t="s">
        <v>27</v>
      </c>
      <c r="N20">
        <f t="shared" si="0"/>
        <v>21.02</v>
      </c>
      <c r="O20">
        <f t="shared" si="1"/>
        <v>20.64</v>
      </c>
      <c r="P20">
        <f t="shared" si="2"/>
        <v>20.46</v>
      </c>
      <c r="Q20">
        <f t="shared" si="3"/>
        <v>20.14</v>
      </c>
      <c r="R20">
        <f t="shared" si="4"/>
        <v>19.989999999999998</v>
      </c>
      <c r="S20">
        <f t="shared" si="5"/>
        <v>20.3</v>
      </c>
      <c r="T20">
        <f t="shared" si="6"/>
        <v>20.41</v>
      </c>
      <c r="U20">
        <f t="shared" si="7"/>
        <v>20.22</v>
      </c>
      <c r="V20">
        <f t="shared" si="8"/>
        <v>20.46</v>
      </c>
    </row>
    <row r="21" spans="1:22" x14ac:dyDescent="0.25">
      <c r="A21" s="5" t="s">
        <v>672</v>
      </c>
      <c r="B21" s="5" t="s">
        <v>673</v>
      </c>
      <c r="C21" s="5">
        <v>31</v>
      </c>
      <c r="D21" s="5">
        <v>30.76</v>
      </c>
      <c r="E21" s="5">
        <v>30.48</v>
      </c>
      <c r="F21" s="5">
        <v>30.85</v>
      </c>
      <c r="G21" s="5">
        <v>30.88</v>
      </c>
      <c r="H21" s="5">
        <v>30.75</v>
      </c>
      <c r="I21" s="5">
        <v>30.6</v>
      </c>
      <c r="J21" s="5">
        <v>31.1</v>
      </c>
      <c r="K21" s="5">
        <v>31.54</v>
      </c>
      <c r="M21" t="s">
        <v>18</v>
      </c>
      <c r="N21">
        <f t="shared" si="0"/>
        <v>13.48</v>
      </c>
      <c r="O21">
        <f t="shared" si="1"/>
        <v>13.23</v>
      </c>
      <c r="P21">
        <f t="shared" si="2"/>
        <v>14.54</v>
      </c>
      <c r="Q21">
        <f t="shared" si="3"/>
        <v>14.68</v>
      </c>
      <c r="R21">
        <f t="shared" si="4"/>
        <v>14.44</v>
      </c>
      <c r="S21">
        <f t="shared" si="5"/>
        <v>13.08</v>
      </c>
      <c r="T21">
        <f t="shared" si="6"/>
        <v>14.16</v>
      </c>
      <c r="U21">
        <f t="shared" si="7"/>
        <v>14.58</v>
      </c>
      <c r="V21">
        <f t="shared" si="8"/>
        <v>15.32</v>
      </c>
    </row>
    <row r="22" spans="1:22" x14ac:dyDescent="0.25">
      <c r="A22" s="5" t="s">
        <v>80</v>
      </c>
      <c r="B22" s="5" t="s">
        <v>229</v>
      </c>
      <c r="C22" s="5">
        <v>35.83</v>
      </c>
      <c r="D22" s="5">
        <v>35.840000000000003</v>
      </c>
      <c r="E22" s="5">
        <v>35.630000000000003</v>
      </c>
      <c r="F22" s="5">
        <v>35.64</v>
      </c>
      <c r="G22" s="5">
        <v>35.81</v>
      </c>
      <c r="H22" s="5">
        <v>36.299999999999997</v>
      </c>
      <c r="I22" s="5">
        <v>35.479999999999997</v>
      </c>
      <c r="J22" s="5">
        <v>36.340000000000003</v>
      </c>
      <c r="K22" s="5">
        <v>36.159999999999997</v>
      </c>
      <c r="M22" t="s">
        <v>12</v>
      </c>
      <c r="N22">
        <f t="shared" si="0"/>
        <v>21.45</v>
      </c>
      <c r="O22">
        <f t="shared" si="1"/>
        <v>22.4</v>
      </c>
      <c r="P22">
        <f t="shared" si="2"/>
        <v>20.95</v>
      </c>
      <c r="Q22">
        <f t="shared" si="3"/>
        <v>21.69</v>
      </c>
      <c r="R22">
        <f t="shared" si="4"/>
        <v>21.82</v>
      </c>
      <c r="S22">
        <f t="shared" si="5"/>
        <v>21.32</v>
      </c>
      <c r="T22">
        <f t="shared" si="6"/>
        <v>22.26</v>
      </c>
      <c r="U22">
        <f t="shared" si="7"/>
        <v>22.39</v>
      </c>
      <c r="V22">
        <f t="shared" si="8"/>
        <v>22.13</v>
      </c>
    </row>
    <row r="23" spans="1:22" x14ac:dyDescent="0.25">
      <c r="A23" s="5" t="s">
        <v>20</v>
      </c>
      <c r="B23" s="5" t="s">
        <v>255</v>
      </c>
      <c r="C23" s="5">
        <v>30.53</v>
      </c>
      <c r="D23" s="5">
        <v>30.27</v>
      </c>
      <c r="E23" s="5">
        <v>30.09</v>
      </c>
      <c r="F23" s="5">
        <v>30.36</v>
      </c>
      <c r="G23" s="5">
        <v>30.1</v>
      </c>
      <c r="H23" s="5">
        <v>30.57</v>
      </c>
      <c r="I23" s="5">
        <v>30.45</v>
      </c>
      <c r="J23" s="5">
        <v>30.81</v>
      </c>
      <c r="K23" s="5">
        <v>30.65</v>
      </c>
      <c r="M23" t="s">
        <v>22</v>
      </c>
      <c r="N23">
        <f t="shared" si="0"/>
        <v>15.99</v>
      </c>
      <c r="O23">
        <f t="shared" si="1"/>
        <v>16.100000000000001</v>
      </c>
      <c r="P23">
        <f t="shared" si="2"/>
        <v>16.62</v>
      </c>
      <c r="Q23">
        <f t="shared" si="3"/>
        <v>17.2</v>
      </c>
      <c r="R23">
        <f t="shared" si="4"/>
        <v>16.68</v>
      </c>
      <c r="S23">
        <f t="shared" si="5"/>
        <v>15.58</v>
      </c>
      <c r="T23">
        <f t="shared" si="6"/>
        <v>16.75</v>
      </c>
      <c r="U23">
        <f t="shared" si="7"/>
        <v>17.309999999999999</v>
      </c>
      <c r="V23">
        <f t="shared" si="8"/>
        <v>17.82</v>
      </c>
    </row>
    <row r="24" spans="1:22" x14ac:dyDescent="0.25">
      <c r="A24" s="5" t="s">
        <v>79</v>
      </c>
      <c r="B24" s="5" t="s">
        <v>373</v>
      </c>
      <c r="C24" s="5">
        <v>17.36</v>
      </c>
      <c r="D24" s="5">
        <v>17.27</v>
      </c>
      <c r="E24" s="5">
        <v>17.54</v>
      </c>
      <c r="F24" s="5">
        <v>18.190000000000001</v>
      </c>
      <c r="G24" s="5">
        <v>18.059999999999999</v>
      </c>
      <c r="H24" s="5">
        <v>17.18</v>
      </c>
      <c r="I24" s="5">
        <v>17.96</v>
      </c>
      <c r="J24" s="5">
        <v>18.55</v>
      </c>
      <c r="K24" s="5">
        <v>18.87</v>
      </c>
      <c r="M24" t="s">
        <v>7</v>
      </c>
      <c r="N24">
        <f t="shared" si="0"/>
        <v>1.7</v>
      </c>
      <c r="O24">
        <f t="shared" si="1"/>
        <v>1.92</v>
      </c>
      <c r="P24">
        <f t="shared" si="2"/>
        <v>1.59</v>
      </c>
      <c r="Q24">
        <f t="shared" si="3"/>
        <v>2.16</v>
      </c>
      <c r="R24">
        <f t="shared" si="4"/>
        <v>3.22</v>
      </c>
      <c r="S24">
        <f t="shared" si="5"/>
        <v>1.38</v>
      </c>
      <c r="T24">
        <f t="shared" si="6"/>
        <v>1.99</v>
      </c>
      <c r="U24">
        <f t="shared" si="7"/>
        <v>2.21</v>
      </c>
      <c r="V24">
        <f t="shared" si="8"/>
        <v>2.31</v>
      </c>
    </row>
    <row r="25" spans="1:22" x14ac:dyDescent="0.25">
      <c r="A25" s="5" t="s">
        <v>69</v>
      </c>
      <c r="B25" s="5" t="s">
        <v>367</v>
      </c>
      <c r="C25" s="5">
        <v>33.020000000000003</v>
      </c>
      <c r="D25" s="5">
        <v>32.99</v>
      </c>
      <c r="E25" s="5">
        <v>33.29</v>
      </c>
      <c r="F25" s="5">
        <v>32.65</v>
      </c>
      <c r="G25" s="5">
        <v>32.61</v>
      </c>
      <c r="H25" s="5">
        <v>33.86</v>
      </c>
      <c r="I25" s="5">
        <v>33.380000000000003</v>
      </c>
      <c r="J25" s="5">
        <v>33.4</v>
      </c>
      <c r="K25" s="5">
        <v>33.049999999999997</v>
      </c>
      <c r="M25" t="s">
        <v>4</v>
      </c>
      <c r="N25">
        <f t="shared" si="0"/>
        <v>15.06</v>
      </c>
      <c r="O25">
        <f t="shared" si="1"/>
        <v>15.35</v>
      </c>
      <c r="P25">
        <f t="shared" si="2"/>
        <v>16.34</v>
      </c>
      <c r="Q25">
        <f t="shared" si="3"/>
        <v>16.23</v>
      </c>
      <c r="R25">
        <f t="shared" si="4"/>
        <v>15.75</v>
      </c>
      <c r="S25">
        <f t="shared" si="5"/>
        <v>14.98</v>
      </c>
      <c r="T25">
        <f t="shared" si="6"/>
        <v>16.350000000000001</v>
      </c>
      <c r="U25">
        <f t="shared" si="7"/>
        <v>16.309999999999999</v>
      </c>
      <c r="V25">
        <f t="shared" si="8"/>
        <v>16.579999999999998</v>
      </c>
    </row>
    <row r="26" spans="1:22" x14ac:dyDescent="0.25">
      <c r="A26" s="5" t="s">
        <v>68</v>
      </c>
      <c r="B26" s="5" t="s">
        <v>674</v>
      </c>
      <c r="C26" s="5">
        <v>29.43</v>
      </c>
      <c r="D26" s="5">
        <v>29.66</v>
      </c>
      <c r="E26" s="5">
        <v>29.37</v>
      </c>
      <c r="F26" s="5">
        <v>29.94</v>
      </c>
      <c r="G26" s="5">
        <v>29.92</v>
      </c>
      <c r="H26" s="5">
        <v>29.54</v>
      </c>
      <c r="I26" s="5">
        <v>29.76</v>
      </c>
      <c r="J26" s="5">
        <v>30.23</v>
      </c>
      <c r="K26" s="5">
        <v>29.81</v>
      </c>
      <c r="M26" t="s">
        <v>15</v>
      </c>
      <c r="N26">
        <f t="shared" si="0"/>
        <v>11.11</v>
      </c>
      <c r="O26">
        <f t="shared" si="1"/>
        <v>10.68</v>
      </c>
      <c r="P26">
        <f t="shared" si="2"/>
        <v>10.71</v>
      </c>
      <c r="Q26">
        <f t="shared" si="3"/>
        <v>10.9</v>
      </c>
      <c r="R26">
        <f t="shared" si="4"/>
        <v>9.9</v>
      </c>
      <c r="S26">
        <f t="shared" si="5"/>
        <v>11.25</v>
      </c>
      <c r="T26">
        <f t="shared" si="6"/>
        <v>10.77</v>
      </c>
      <c r="U26">
        <f t="shared" si="7"/>
        <v>11.58</v>
      </c>
      <c r="V26">
        <f t="shared" si="8"/>
        <v>10.79</v>
      </c>
    </row>
    <row r="27" spans="1:22" x14ac:dyDescent="0.25">
      <c r="A27" s="5" t="s">
        <v>75</v>
      </c>
      <c r="B27" s="5" t="s">
        <v>312</v>
      </c>
      <c r="C27" s="5">
        <v>15.57</v>
      </c>
      <c r="D27" s="5">
        <v>15.82</v>
      </c>
      <c r="E27" s="5">
        <v>16.489999999999998</v>
      </c>
      <c r="F27" s="5">
        <v>16.64</v>
      </c>
      <c r="G27" s="5">
        <v>16.079999999999998</v>
      </c>
      <c r="H27" s="5">
        <v>15.47</v>
      </c>
      <c r="I27" s="5">
        <v>16.59</v>
      </c>
      <c r="J27" s="5">
        <v>16.760000000000002</v>
      </c>
      <c r="K27" s="5">
        <v>17.32</v>
      </c>
      <c r="M27" t="s">
        <v>29</v>
      </c>
      <c r="N27">
        <f t="shared" si="0"/>
        <v>14.12</v>
      </c>
      <c r="O27">
        <f t="shared" si="1"/>
        <v>14.25</v>
      </c>
      <c r="P27">
        <f t="shared" si="2"/>
        <v>14.45</v>
      </c>
      <c r="Q27">
        <f t="shared" si="3"/>
        <v>15.32</v>
      </c>
      <c r="R27">
        <f t="shared" si="4"/>
        <v>15.45</v>
      </c>
      <c r="S27">
        <f t="shared" si="5"/>
        <v>13.84</v>
      </c>
      <c r="T27">
        <f t="shared" si="6"/>
        <v>14.49</v>
      </c>
      <c r="U27">
        <f t="shared" si="7"/>
        <v>15.35</v>
      </c>
      <c r="V27">
        <f t="shared" si="8"/>
        <v>15.89</v>
      </c>
    </row>
    <row r="28" spans="1:22" x14ac:dyDescent="0.25">
      <c r="A28" s="5" t="s">
        <v>675</v>
      </c>
      <c r="B28" s="5" t="s">
        <v>676</v>
      </c>
      <c r="C28" s="5"/>
      <c r="D28" s="5"/>
      <c r="E28" s="5"/>
      <c r="F28" s="5"/>
      <c r="G28" s="5"/>
      <c r="H28" s="5"/>
      <c r="I28" s="5"/>
      <c r="J28" s="5"/>
      <c r="K28" s="5"/>
    </row>
    <row r="29" spans="1:22" x14ac:dyDescent="0.25">
      <c r="A29" s="5" t="s">
        <v>11</v>
      </c>
      <c r="B29" s="5" t="s">
        <v>310</v>
      </c>
      <c r="C29" s="5">
        <v>11.89</v>
      </c>
      <c r="D29" s="5">
        <v>11.68</v>
      </c>
      <c r="E29" s="5">
        <v>12.37</v>
      </c>
      <c r="F29" s="5">
        <v>13.21</v>
      </c>
      <c r="G29" s="5">
        <v>13.34</v>
      </c>
      <c r="H29" s="5">
        <v>11.66</v>
      </c>
      <c r="I29" s="5">
        <v>12.26</v>
      </c>
      <c r="J29" s="5">
        <v>13.15</v>
      </c>
      <c r="K29" s="5">
        <v>13.78</v>
      </c>
    </row>
    <row r="30" spans="1:22" x14ac:dyDescent="0.25">
      <c r="A30" s="5" t="s">
        <v>71</v>
      </c>
      <c r="B30" s="5" t="s">
        <v>311</v>
      </c>
      <c r="C30" s="5">
        <v>30.66</v>
      </c>
      <c r="D30" s="5">
        <v>30.58</v>
      </c>
      <c r="E30" s="5">
        <v>30.01</v>
      </c>
      <c r="F30" s="5">
        <v>30.7</v>
      </c>
      <c r="G30" s="5">
        <v>30.77</v>
      </c>
      <c r="H30" s="5">
        <v>30.54</v>
      </c>
      <c r="I30" s="5">
        <v>30.12</v>
      </c>
      <c r="J30" s="5">
        <v>30.72</v>
      </c>
      <c r="K30" s="5">
        <v>31.16</v>
      </c>
    </row>
    <row r="31" spans="1:22" x14ac:dyDescent="0.25">
      <c r="A31" s="5" t="s">
        <v>72</v>
      </c>
      <c r="B31" s="5" t="s">
        <v>677</v>
      </c>
      <c r="C31" s="5">
        <v>26.62</v>
      </c>
      <c r="D31" s="5">
        <v>26.61</v>
      </c>
      <c r="E31" s="5">
        <v>26.52</v>
      </c>
      <c r="F31" s="5">
        <v>26.66</v>
      </c>
      <c r="G31" s="5">
        <v>26.4</v>
      </c>
      <c r="H31" s="5">
        <v>26.41</v>
      </c>
      <c r="I31" s="5">
        <v>26.75</v>
      </c>
      <c r="J31" s="5">
        <v>26.4</v>
      </c>
      <c r="K31" s="5">
        <v>26.12</v>
      </c>
    </row>
    <row r="32" spans="1:22" x14ac:dyDescent="0.25">
      <c r="A32" s="5" t="s">
        <v>74</v>
      </c>
      <c r="B32" s="5" t="s">
        <v>258</v>
      </c>
      <c r="C32" s="5">
        <v>27.5</v>
      </c>
      <c r="D32" s="5">
        <v>27.32</v>
      </c>
      <c r="E32" s="5">
        <v>26.92</v>
      </c>
      <c r="F32" s="5">
        <v>27.36</v>
      </c>
      <c r="G32" s="5">
        <v>27.74</v>
      </c>
      <c r="H32" s="5">
        <v>27.1</v>
      </c>
      <c r="I32" s="5">
        <v>27.36</v>
      </c>
      <c r="J32" s="5">
        <v>28.2</v>
      </c>
      <c r="K32" s="5">
        <v>28.01</v>
      </c>
    </row>
    <row r="33" spans="1:11" x14ac:dyDescent="0.25">
      <c r="A33" s="5" t="s">
        <v>77</v>
      </c>
      <c r="B33" s="5" t="s">
        <v>314</v>
      </c>
      <c r="C33" s="5">
        <v>31.21</v>
      </c>
      <c r="D33" s="5">
        <v>31.14</v>
      </c>
      <c r="E33" s="5">
        <v>30.89</v>
      </c>
      <c r="F33" s="5">
        <v>31.31</v>
      </c>
      <c r="G33" s="5">
        <v>31.28</v>
      </c>
      <c r="H33" s="5">
        <v>30.9</v>
      </c>
      <c r="I33" s="5">
        <v>30.89</v>
      </c>
      <c r="J33" s="5">
        <v>31.42</v>
      </c>
      <c r="K33" s="5">
        <v>31.51</v>
      </c>
    </row>
    <row r="34" spans="1:11" x14ac:dyDescent="0.25">
      <c r="A34" s="5" t="s">
        <v>70</v>
      </c>
      <c r="B34" s="5" t="s">
        <v>368</v>
      </c>
      <c r="C34" s="5">
        <v>30.62</v>
      </c>
      <c r="D34" s="5">
        <v>30.3</v>
      </c>
      <c r="E34" s="5">
        <v>29.96</v>
      </c>
      <c r="F34" s="5">
        <v>30.28</v>
      </c>
      <c r="G34" s="5">
        <v>30.33</v>
      </c>
      <c r="H34" s="5">
        <v>30.13</v>
      </c>
      <c r="I34" s="5">
        <v>29.98</v>
      </c>
      <c r="J34" s="5">
        <v>30.56</v>
      </c>
      <c r="K34" s="5">
        <v>31.08</v>
      </c>
    </row>
    <row r="35" spans="1:11" x14ac:dyDescent="0.25">
      <c r="A35" s="5" t="s">
        <v>55</v>
      </c>
      <c r="B35" s="5" t="s">
        <v>372</v>
      </c>
      <c r="C35" s="5">
        <v>31.54</v>
      </c>
      <c r="D35" s="5">
        <v>31.77</v>
      </c>
      <c r="E35" s="5">
        <v>32.520000000000003</v>
      </c>
      <c r="F35" s="5">
        <v>32.71</v>
      </c>
      <c r="G35" s="5">
        <v>32.61</v>
      </c>
      <c r="H35" s="5">
        <v>32.590000000000003</v>
      </c>
      <c r="I35" s="5">
        <v>32</v>
      </c>
      <c r="J35" s="5">
        <v>31.45</v>
      </c>
      <c r="K35" s="5">
        <v>31.42</v>
      </c>
    </row>
    <row r="36" spans="1:11" x14ac:dyDescent="0.25">
      <c r="A36" s="5" t="s">
        <v>73</v>
      </c>
      <c r="B36" s="5" t="s">
        <v>257</v>
      </c>
      <c r="C36" s="5">
        <v>16.190000000000001</v>
      </c>
      <c r="D36" s="5">
        <v>16.02</v>
      </c>
      <c r="E36" s="5">
        <v>15.69</v>
      </c>
      <c r="F36" s="5">
        <v>15.89</v>
      </c>
      <c r="G36" s="5">
        <v>15.8</v>
      </c>
      <c r="H36" s="5">
        <v>16.36</v>
      </c>
      <c r="I36" s="5">
        <v>16.05</v>
      </c>
      <c r="J36" s="5">
        <v>16.29</v>
      </c>
      <c r="K36" s="5">
        <v>16.04</v>
      </c>
    </row>
    <row r="37" spans="1:11" x14ac:dyDescent="0.25">
      <c r="A37" s="5" t="s">
        <v>678</v>
      </c>
      <c r="B37" s="5" t="s">
        <v>679</v>
      </c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5" t="s">
        <v>76</v>
      </c>
      <c r="B38" s="5" t="s">
        <v>313</v>
      </c>
      <c r="C38" s="5">
        <v>30.84</v>
      </c>
      <c r="D38" s="5">
        <v>30.16</v>
      </c>
      <c r="E38" s="5">
        <v>30.37</v>
      </c>
      <c r="F38" s="5">
        <v>31.12</v>
      </c>
      <c r="G38" s="5">
        <v>30.03</v>
      </c>
      <c r="H38" s="5">
        <v>29.82</v>
      </c>
      <c r="I38" s="5">
        <v>30.02</v>
      </c>
      <c r="J38" s="5">
        <v>30.34</v>
      </c>
      <c r="K38" s="5">
        <v>30.72</v>
      </c>
    </row>
    <row r="39" spans="1:11" x14ac:dyDescent="0.25">
      <c r="A39" s="5" t="s">
        <v>86</v>
      </c>
      <c r="B39" s="5" t="s">
        <v>231</v>
      </c>
      <c r="C39" s="5">
        <v>32.11</v>
      </c>
      <c r="D39" s="5">
        <v>31.82</v>
      </c>
      <c r="E39" s="5">
        <v>31.75</v>
      </c>
      <c r="F39" s="5">
        <v>31.97</v>
      </c>
      <c r="G39" s="5">
        <v>32.049999999999997</v>
      </c>
      <c r="H39" s="5">
        <v>32.130000000000003</v>
      </c>
      <c r="I39" s="5">
        <v>31.92</v>
      </c>
      <c r="J39" s="5">
        <v>31.8</v>
      </c>
      <c r="K39" s="5">
        <v>31.82</v>
      </c>
    </row>
    <row r="40" spans="1:11" x14ac:dyDescent="0.25">
      <c r="A40" s="5" t="s">
        <v>49</v>
      </c>
      <c r="B40" s="5" t="s">
        <v>374</v>
      </c>
      <c r="C40" s="5">
        <v>1.45</v>
      </c>
      <c r="D40" s="5">
        <v>1.05</v>
      </c>
      <c r="E40" s="5">
        <v>0.26</v>
      </c>
      <c r="F40" s="5">
        <v>0.47</v>
      </c>
      <c r="G40" s="5">
        <v>0.63</v>
      </c>
      <c r="H40" s="5">
        <v>1.26</v>
      </c>
      <c r="I40" s="5">
        <v>0.74</v>
      </c>
      <c r="J40" s="5">
        <v>2.0099999999999998</v>
      </c>
      <c r="K40" s="5">
        <v>1.86</v>
      </c>
    </row>
    <row r="41" spans="1:11" x14ac:dyDescent="0.25">
      <c r="A41" s="5" t="s">
        <v>680</v>
      </c>
      <c r="B41" s="5" t="s">
        <v>681</v>
      </c>
      <c r="C41" s="5">
        <v>29.62</v>
      </c>
      <c r="D41" s="5">
        <v>29.15</v>
      </c>
      <c r="E41" s="5">
        <v>29.22</v>
      </c>
      <c r="F41" s="5">
        <v>29.38</v>
      </c>
      <c r="G41" s="5">
        <v>29.47</v>
      </c>
      <c r="H41" s="5">
        <v>29.48</v>
      </c>
      <c r="I41" s="5">
        <v>29.45</v>
      </c>
      <c r="J41" s="5">
        <v>29.24</v>
      </c>
      <c r="K41" s="5">
        <v>29.84</v>
      </c>
    </row>
    <row r="42" spans="1:11" x14ac:dyDescent="0.25">
      <c r="A42" s="5" t="s">
        <v>42</v>
      </c>
      <c r="B42" s="5" t="s">
        <v>438</v>
      </c>
      <c r="C42" s="5">
        <v>10.210000000000001</v>
      </c>
      <c r="D42" s="5">
        <v>10.63</v>
      </c>
      <c r="E42" s="5">
        <v>11.51</v>
      </c>
      <c r="F42" s="5">
        <v>11.18</v>
      </c>
      <c r="G42" s="5">
        <v>11.63</v>
      </c>
      <c r="H42" s="5">
        <v>9.98</v>
      </c>
      <c r="I42" s="5">
        <v>12.13</v>
      </c>
      <c r="J42" s="5">
        <v>11.87</v>
      </c>
      <c r="K42" s="5">
        <v>11.43</v>
      </c>
    </row>
    <row r="43" spans="1:11" x14ac:dyDescent="0.25">
      <c r="A43" s="5" t="s">
        <v>89</v>
      </c>
      <c r="B43" s="5" t="s">
        <v>377</v>
      </c>
      <c r="C43" s="5">
        <v>14.44</v>
      </c>
      <c r="D43" s="5">
        <v>14.46</v>
      </c>
      <c r="E43" s="5">
        <v>14.18</v>
      </c>
      <c r="F43" s="5">
        <v>14.25</v>
      </c>
      <c r="G43" s="5">
        <v>14.76</v>
      </c>
      <c r="H43" s="5">
        <v>14.72</v>
      </c>
      <c r="I43" s="5">
        <v>14.32</v>
      </c>
      <c r="J43" s="5">
        <v>14.85</v>
      </c>
      <c r="K43" s="5">
        <v>14.39</v>
      </c>
    </row>
    <row r="44" spans="1:11" x14ac:dyDescent="0.25">
      <c r="A44" s="5" t="s">
        <v>90</v>
      </c>
      <c r="B44" s="5" t="s">
        <v>316</v>
      </c>
      <c r="C44" s="5">
        <v>13.87</v>
      </c>
      <c r="D44" s="5">
        <v>14.1</v>
      </c>
      <c r="E44" s="5">
        <v>13.74</v>
      </c>
      <c r="F44" s="5">
        <v>14.05</v>
      </c>
      <c r="G44" s="5">
        <v>13.91</v>
      </c>
      <c r="H44" s="5">
        <v>14.25</v>
      </c>
      <c r="I44" s="5">
        <v>14.17</v>
      </c>
      <c r="J44" s="5">
        <v>14.48</v>
      </c>
      <c r="K44" s="5">
        <v>14.44</v>
      </c>
    </row>
    <row r="45" spans="1:11" x14ac:dyDescent="0.25">
      <c r="A45" s="5" t="s">
        <v>95</v>
      </c>
      <c r="B45" s="5" t="s">
        <v>682</v>
      </c>
      <c r="C45" s="5">
        <v>32.409999999999997</v>
      </c>
      <c r="D45" s="5">
        <v>32.380000000000003</v>
      </c>
      <c r="E45" s="5">
        <v>32.11</v>
      </c>
      <c r="F45" s="5">
        <v>32.11</v>
      </c>
      <c r="G45" s="5">
        <v>32.4</v>
      </c>
      <c r="H45" s="5">
        <v>32.56</v>
      </c>
      <c r="I45" s="5">
        <v>31.89</v>
      </c>
      <c r="J45" s="5">
        <v>32.520000000000003</v>
      </c>
      <c r="K45" s="5">
        <v>32.54</v>
      </c>
    </row>
    <row r="46" spans="1:11" x14ac:dyDescent="0.25">
      <c r="A46" s="5" t="s">
        <v>84</v>
      </c>
      <c r="B46" s="5" t="s">
        <v>260</v>
      </c>
      <c r="C46" s="5">
        <v>30.36</v>
      </c>
      <c r="D46" s="5">
        <v>29.93</v>
      </c>
      <c r="E46" s="5">
        <v>30.01</v>
      </c>
      <c r="F46" s="5">
        <v>29.95</v>
      </c>
      <c r="G46" s="5">
        <v>30.55</v>
      </c>
      <c r="H46" s="5">
        <v>30.54</v>
      </c>
      <c r="I46" s="5">
        <v>30.33</v>
      </c>
      <c r="J46" s="5">
        <v>30.37</v>
      </c>
      <c r="K46" s="5">
        <v>30.46</v>
      </c>
    </row>
    <row r="47" spans="1:11" x14ac:dyDescent="0.25">
      <c r="A47" s="5" t="s">
        <v>92</v>
      </c>
      <c r="B47" s="5" t="s">
        <v>683</v>
      </c>
      <c r="C47" s="5">
        <v>30.14</v>
      </c>
      <c r="D47" s="5">
        <v>30.02</v>
      </c>
      <c r="E47" s="5">
        <v>29.92</v>
      </c>
      <c r="F47" s="5">
        <v>29.99</v>
      </c>
      <c r="G47" s="5">
        <v>30.08</v>
      </c>
      <c r="H47" s="5">
        <v>30.1</v>
      </c>
      <c r="I47" s="5">
        <v>30.02</v>
      </c>
      <c r="J47" s="5">
        <v>29.99</v>
      </c>
      <c r="K47" s="5">
        <v>30.04</v>
      </c>
    </row>
    <row r="48" spans="1:11" x14ac:dyDescent="0.25">
      <c r="A48" s="5" t="s">
        <v>93</v>
      </c>
      <c r="B48" s="5" t="s">
        <v>684</v>
      </c>
      <c r="C48" s="5">
        <v>29.77</v>
      </c>
      <c r="D48" s="5">
        <v>29.44</v>
      </c>
      <c r="E48" s="5">
        <v>29.59</v>
      </c>
      <c r="F48" s="5">
        <v>29.54</v>
      </c>
      <c r="G48" s="5">
        <v>29.93</v>
      </c>
      <c r="H48" s="5">
        <v>29.82</v>
      </c>
      <c r="I48" s="5">
        <v>29.62</v>
      </c>
      <c r="J48" s="5">
        <v>29.43</v>
      </c>
      <c r="K48" s="5">
        <v>29.82</v>
      </c>
    </row>
    <row r="49" spans="1:11" x14ac:dyDescent="0.25">
      <c r="A49" s="5" t="s">
        <v>685</v>
      </c>
      <c r="B49" s="5" t="s">
        <v>686</v>
      </c>
      <c r="C49" s="5">
        <v>27.68</v>
      </c>
      <c r="D49" s="5">
        <v>27.67</v>
      </c>
      <c r="E49" s="5">
        <v>27.64</v>
      </c>
      <c r="F49" s="5">
        <v>27.64</v>
      </c>
      <c r="G49" s="5">
        <v>27.69</v>
      </c>
      <c r="H49" s="5">
        <v>27.71</v>
      </c>
      <c r="I49" s="5">
        <v>27.64</v>
      </c>
      <c r="J49" s="5">
        <v>27.67</v>
      </c>
      <c r="K49" s="5">
        <v>27.64</v>
      </c>
    </row>
    <row r="50" spans="1:11" x14ac:dyDescent="0.25">
      <c r="A50" s="5" t="s">
        <v>36</v>
      </c>
      <c r="B50" s="5" t="s">
        <v>317</v>
      </c>
      <c r="C50" s="5">
        <v>30.2</v>
      </c>
      <c r="D50" s="5">
        <v>29.79</v>
      </c>
      <c r="E50" s="5">
        <v>29.63</v>
      </c>
      <c r="F50" s="5">
        <v>29.95</v>
      </c>
      <c r="G50" s="5">
        <v>29.99</v>
      </c>
      <c r="H50" s="5">
        <v>29.49</v>
      </c>
      <c r="I50" s="5">
        <v>29.27</v>
      </c>
      <c r="J50" s="5">
        <v>30.1</v>
      </c>
      <c r="K50" s="5">
        <v>30.36</v>
      </c>
    </row>
    <row r="51" spans="1:11" x14ac:dyDescent="0.25">
      <c r="A51" s="5" t="s">
        <v>91</v>
      </c>
      <c r="B51" s="5" t="s">
        <v>261</v>
      </c>
      <c r="C51" s="5">
        <v>27.38</v>
      </c>
      <c r="D51" s="5">
        <v>27.56</v>
      </c>
      <c r="E51" s="5">
        <v>27.4</v>
      </c>
      <c r="F51" s="5">
        <v>27.61</v>
      </c>
      <c r="G51" s="5">
        <v>27.62</v>
      </c>
      <c r="H51" s="5">
        <v>27.4</v>
      </c>
      <c r="I51" s="5">
        <v>27.37</v>
      </c>
      <c r="J51" s="5">
        <v>27.53</v>
      </c>
      <c r="K51" s="5">
        <v>27.69</v>
      </c>
    </row>
    <row r="52" spans="1:11" x14ac:dyDescent="0.25">
      <c r="A52" s="5" t="s">
        <v>82</v>
      </c>
      <c r="B52" s="5" t="s">
        <v>315</v>
      </c>
      <c r="C52" s="5">
        <v>25.63</v>
      </c>
      <c r="D52" s="5">
        <v>25.7</v>
      </c>
      <c r="E52" s="5">
        <v>25.19</v>
      </c>
      <c r="F52" s="5">
        <v>25.27</v>
      </c>
      <c r="G52" s="5">
        <v>25.86</v>
      </c>
      <c r="H52" s="5">
        <v>25.66</v>
      </c>
      <c r="I52" s="5">
        <v>25.59</v>
      </c>
      <c r="J52" s="5">
        <v>25.98</v>
      </c>
      <c r="K52" s="5">
        <v>25.77</v>
      </c>
    </row>
    <row r="53" spans="1:11" x14ac:dyDescent="0.25">
      <c r="A53" s="5" t="s">
        <v>94</v>
      </c>
      <c r="B53" s="5" t="s">
        <v>378</v>
      </c>
      <c r="C53" s="5">
        <v>28.78</v>
      </c>
      <c r="D53" s="5">
        <v>28.67</v>
      </c>
      <c r="E53" s="5">
        <v>28.27</v>
      </c>
      <c r="F53" s="5">
        <v>28.56</v>
      </c>
      <c r="G53" s="5">
        <v>28.71</v>
      </c>
      <c r="H53" s="5">
        <v>28.54</v>
      </c>
      <c r="I53" s="5">
        <v>28.41</v>
      </c>
      <c r="J53" s="5">
        <v>29.23</v>
      </c>
      <c r="K53" s="5">
        <v>29.03</v>
      </c>
    </row>
    <row r="54" spans="1:11" x14ac:dyDescent="0.25">
      <c r="A54" s="5" t="s">
        <v>96</v>
      </c>
      <c r="B54" s="5" t="s">
        <v>318</v>
      </c>
      <c r="C54" s="5">
        <v>30.89</v>
      </c>
      <c r="D54" s="5">
        <v>30.99</v>
      </c>
      <c r="E54" s="5">
        <v>30.65</v>
      </c>
      <c r="F54" s="5">
        <v>31.27</v>
      </c>
      <c r="G54" s="5">
        <v>31.31</v>
      </c>
      <c r="H54" s="5">
        <v>31.05</v>
      </c>
      <c r="I54" s="5">
        <v>31.17</v>
      </c>
      <c r="J54" s="5">
        <v>31.64</v>
      </c>
      <c r="K54" s="5">
        <v>31.25</v>
      </c>
    </row>
    <row r="55" spans="1:11" x14ac:dyDescent="0.25">
      <c r="A55" s="5" t="s">
        <v>97</v>
      </c>
      <c r="B55" s="5" t="s">
        <v>687</v>
      </c>
      <c r="C55" s="5">
        <v>31.56</v>
      </c>
      <c r="D55" s="5">
        <v>31.38</v>
      </c>
      <c r="E55" s="5">
        <v>30.97</v>
      </c>
      <c r="F55" s="5">
        <v>31.38</v>
      </c>
      <c r="G55" s="5">
        <v>31.43</v>
      </c>
      <c r="H55" s="5">
        <v>30.94</v>
      </c>
      <c r="I55" s="5">
        <v>30.84</v>
      </c>
      <c r="J55" s="5">
        <v>31.38</v>
      </c>
      <c r="K55" s="5">
        <v>31.57</v>
      </c>
    </row>
    <row r="56" spans="1:11" x14ac:dyDescent="0.25">
      <c r="A56" s="5" t="s">
        <v>688</v>
      </c>
      <c r="B56" s="5" t="s">
        <v>689</v>
      </c>
      <c r="C56" s="5">
        <v>30.65</v>
      </c>
      <c r="D56" s="5">
        <v>30.76</v>
      </c>
      <c r="E56" s="5">
        <v>30.76</v>
      </c>
      <c r="F56" s="5">
        <v>30.84</v>
      </c>
      <c r="G56" s="5">
        <v>30.8</v>
      </c>
      <c r="H56" s="5">
        <v>30.75</v>
      </c>
      <c r="I56" s="5">
        <v>30.89</v>
      </c>
      <c r="J56" s="5">
        <v>31.01</v>
      </c>
      <c r="K56" s="5">
        <v>31.07</v>
      </c>
    </row>
    <row r="57" spans="1:11" x14ac:dyDescent="0.25">
      <c r="A57" s="5" t="s">
        <v>85</v>
      </c>
      <c r="B57" s="5" t="s">
        <v>690</v>
      </c>
      <c r="C57" s="5">
        <v>31.4</v>
      </c>
      <c r="D57" s="5">
        <v>31.48</v>
      </c>
      <c r="E57" s="5">
        <v>31.23</v>
      </c>
      <c r="F57" s="5">
        <v>31.82</v>
      </c>
      <c r="G57" s="5">
        <v>31.77</v>
      </c>
      <c r="H57" s="5">
        <v>31.53</v>
      </c>
      <c r="I57" s="5">
        <v>31.55</v>
      </c>
      <c r="J57" s="5">
        <v>31.96</v>
      </c>
      <c r="K57" s="5">
        <v>31.77</v>
      </c>
    </row>
    <row r="58" spans="1:11" x14ac:dyDescent="0.25">
      <c r="A58" s="5" t="s">
        <v>25</v>
      </c>
      <c r="B58" s="5" t="s">
        <v>381</v>
      </c>
      <c r="C58" s="5">
        <v>24.59</v>
      </c>
      <c r="D58" s="5">
        <v>24.22</v>
      </c>
      <c r="E58" s="5">
        <v>24.87</v>
      </c>
      <c r="F58" s="5">
        <v>24.36</v>
      </c>
      <c r="G58" s="5">
        <v>24.77</v>
      </c>
      <c r="H58" s="5">
        <v>24.84</v>
      </c>
      <c r="I58" s="5">
        <v>24.08</v>
      </c>
      <c r="J58" s="5">
        <v>24.86</v>
      </c>
      <c r="K58" s="5">
        <v>25.15</v>
      </c>
    </row>
    <row r="59" spans="1:11" x14ac:dyDescent="0.25">
      <c r="A59" s="5" t="s">
        <v>39</v>
      </c>
      <c r="B59" s="5" t="s">
        <v>691</v>
      </c>
      <c r="C59" s="5">
        <v>13.43</v>
      </c>
      <c r="D59" s="5">
        <v>13.49</v>
      </c>
      <c r="E59" s="5">
        <v>14.83</v>
      </c>
      <c r="F59" s="5">
        <v>14.65</v>
      </c>
      <c r="G59" s="5">
        <v>14.39</v>
      </c>
      <c r="H59" s="5">
        <v>13.12</v>
      </c>
      <c r="I59" s="5">
        <v>14.57</v>
      </c>
      <c r="J59" s="5">
        <v>14.63</v>
      </c>
      <c r="K59" s="5">
        <v>15.16</v>
      </c>
    </row>
    <row r="60" spans="1:11" x14ac:dyDescent="0.25">
      <c r="A60" s="5" t="s">
        <v>51</v>
      </c>
      <c r="B60" s="5" t="s">
        <v>389</v>
      </c>
      <c r="C60" s="5">
        <v>14.04</v>
      </c>
      <c r="D60" s="5">
        <v>14.12</v>
      </c>
      <c r="E60" s="5">
        <v>15.38</v>
      </c>
      <c r="F60" s="5">
        <v>15.06</v>
      </c>
      <c r="G60" s="5">
        <v>15.27</v>
      </c>
      <c r="H60" s="5">
        <v>13.7</v>
      </c>
      <c r="I60" s="5">
        <v>15.42</v>
      </c>
      <c r="J60" s="5">
        <v>15.18</v>
      </c>
      <c r="K60" s="5">
        <v>15.35</v>
      </c>
    </row>
    <row r="61" spans="1:11" x14ac:dyDescent="0.25">
      <c r="A61" s="5" t="s">
        <v>98</v>
      </c>
      <c r="B61" s="5" t="s">
        <v>264</v>
      </c>
      <c r="C61" s="5">
        <v>34.090000000000003</v>
      </c>
      <c r="D61" s="5">
        <v>33.58</v>
      </c>
      <c r="E61" s="5">
        <v>33.33</v>
      </c>
      <c r="F61" s="5">
        <v>33.54</v>
      </c>
      <c r="G61" s="5">
        <v>33.4</v>
      </c>
      <c r="H61" s="5">
        <v>33.78</v>
      </c>
      <c r="I61" s="5">
        <v>34.11</v>
      </c>
      <c r="J61" s="5">
        <v>34.18</v>
      </c>
      <c r="K61" s="5">
        <v>34.43</v>
      </c>
    </row>
    <row r="62" spans="1:11" x14ac:dyDescent="0.25">
      <c r="A62" s="5" t="s">
        <v>99</v>
      </c>
      <c r="B62" s="5" t="s">
        <v>319</v>
      </c>
      <c r="C62" s="5">
        <v>31.08</v>
      </c>
      <c r="D62" s="5">
        <v>30.82</v>
      </c>
      <c r="E62" s="5">
        <v>30.49</v>
      </c>
      <c r="F62" s="5">
        <v>30.83</v>
      </c>
      <c r="G62" s="5">
        <v>30.87</v>
      </c>
      <c r="H62" s="5">
        <v>30.74</v>
      </c>
      <c r="I62" s="5">
        <v>30.53</v>
      </c>
      <c r="J62" s="5">
        <v>31.1</v>
      </c>
      <c r="K62" s="5">
        <v>31.6</v>
      </c>
    </row>
    <row r="63" spans="1:11" x14ac:dyDescent="0.25">
      <c r="A63" s="5" t="s">
        <v>10</v>
      </c>
      <c r="B63" s="5" t="s">
        <v>383</v>
      </c>
      <c r="C63" s="5">
        <v>12.34</v>
      </c>
      <c r="D63" s="5">
        <v>12.12</v>
      </c>
      <c r="E63" s="5">
        <v>13.16</v>
      </c>
      <c r="F63" s="5">
        <v>12.96</v>
      </c>
      <c r="G63" s="5">
        <v>13.48</v>
      </c>
      <c r="H63" s="5">
        <v>12.21</v>
      </c>
      <c r="I63" s="5">
        <v>13.19</v>
      </c>
      <c r="J63" s="5">
        <v>12.83</v>
      </c>
      <c r="K63" s="5">
        <v>13.28</v>
      </c>
    </row>
    <row r="64" spans="1:11" x14ac:dyDescent="0.25">
      <c r="A64" s="5" t="s">
        <v>100</v>
      </c>
      <c r="B64" s="5" t="s">
        <v>320</v>
      </c>
      <c r="C64" s="5">
        <v>30.69</v>
      </c>
      <c r="D64" s="5">
        <v>30.57</v>
      </c>
      <c r="E64" s="5">
        <v>30.33</v>
      </c>
      <c r="F64" s="5">
        <v>30.69</v>
      </c>
      <c r="G64" s="5">
        <v>30.83</v>
      </c>
      <c r="H64" s="5">
        <v>30.64</v>
      </c>
      <c r="I64" s="5">
        <v>30.52</v>
      </c>
      <c r="J64" s="5">
        <v>31.09</v>
      </c>
      <c r="K64" s="5">
        <v>31.32</v>
      </c>
    </row>
    <row r="65" spans="1:11" x14ac:dyDescent="0.25">
      <c r="A65" s="5" t="s">
        <v>58</v>
      </c>
      <c r="B65" s="5" t="s">
        <v>306</v>
      </c>
      <c r="C65" s="5">
        <v>31.21</v>
      </c>
      <c r="D65" s="5">
        <v>31.08</v>
      </c>
      <c r="E65" s="5">
        <v>30.74</v>
      </c>
      <c r="F65" s="5">
        <v>30.96</v>
      </c>
      <c r="G65" s="5">
        <v>30.94</v>
      </c>
      <c r="H65" s="5">
        <v>31.15</v>
      </c>
      <c r="I65" s="5">
        <v>31.3</v>
      </c>
      <c r="J65" s="5">
        <v>31.3</v>
      </c>
      <c r="K65" s="5">
        <v>31.46</v>
      </c>
    </row>
    <row r="66" spans="1:11" x14ac:dyDescent="0.25">
      <c r="A66" s="5" t="s">
        <v>101</v>
      </c>
      <c r="B66" s="5" t="s">
        <v>321</v>
      </c>
      <c r="C66" s="5">
        <v>27.95</v>
      </c>
      <c r="D66" s="5">
        <v>27.65</v>
      </c>
      <c r="E66" s="5">
        <v>27.53</v>
      </c>
      <c r="F66" s="5">
        <v>27.6</v>
      </c>
      <c r="G66" s="5">
        <v>27.75</v>
      </c>
      <c r="H66" s="5">
        <v>27.35</v>
      </c>
      <c r="I66" s="5">
        <v>27.05</v>
      </c>
      <c r="J66" s="5">
        <v>28.32</v>
      </c>
      <c r="K66" s="5">
        <v>27.82</v>
      </c>
    </row>
    <row r="67" spans="1:11" x14ac:dyDescent="0.25">
      <c r="A67" s="5" t="s">
        <v>40</v>
      </c>
      <c r="B67" s="5" t="s">
        <v>692</v>
      </c>
      <c r="C67" s="5">
        <v>31.52</v>
      </c>
      <c r="D67" s="5">
        <v>31.01</v>
      </c>
      <c r="E67" s="5">
        <v>31.73</v>
      </c>
      <c r="F67" s="5">
        <v>31.17</v>
      </c>
      <c r="G67" s="5">
        <v>30.82</v>
      </c>
      <c r="H67" s="5">
        <v>31.55</v>
      </c>
      <c r="I67" s="5">
        <v>30.86</v>
      </c>
      <c r="J67" s="5">
        <v>31.29</v>
      </c>
      <c r="K67" s="5">
        <v>31.26</v>
      </c>
    </row>
    <row r="68" spans="1:11" x14ac:dyDescent="0.25">
      <c r="A68" s="5" t="s">
        <v>104</v>
      </c>
      <c r="B68" s="5" t="s">
        <v>234</v>
      </c>
      <c r="C68" s="5">
        <v>33.64</v>
      </c>
      <c r="D68" s="5">
        <v>33.49</v>
      </c>
      <c r="E68" s="5">
        <v>33.43</v>
      </c>
      <c r="F68" s="5">
        <v>33.229999999999997</v>
      </c>
      <c r="G68" s="5">
        <v>32.86</v>
      </c>
      <c r="H68" s="5">
        <v>33.39</v>
      </c>
      <c r="I68" s="5">
        <v>33</v>
      </c>
      <c r="J68" s="5">
        <v>33.520000000000003</v>
      </c>
      <c r="K68" s="5">
        <v>33.799999999999997</v>
      </c>
    </row>
    <row r="69" spans="1:11" x14ac:dyDescent="0.25">
      <c r="A69" s="5" t="s">
        <v>24</v>
      </c>
      <c r="B69" s="5" t="s">
        <v>434</v>
      </c>
      <c r="C69" s="5">
        <v>20.11</v>
      </c>
      <c r="D69" s="5">
        <v>20.86</v>
      </c>
      <c r="E69" s="5">
        <v>19.61</v>
      </c>
      <c r="F69" s="5">
        <v>20.39</v>
      </c>
      <c r="G69" s="5">
        <v>20.48</v>
      </c>
      <c r="H69" s="5">
        <v>20.14</v>
      </c>
      <c r="I69" s="5">
        <v>21.04</v>
      </c>
      <c r="J69" s="5">
        <v>21.17</v>
      </c>
      <c r="K69" s="5">
        <v>20.88</v>
      </c>
    </row>
    <row r="70" spans="1:11" x14ac:dyDescent="0.25">
      <c r="A70" s="5" t="s">
        <v>1</v>
      </c>
      <c r="B70" s="5" t="s">
        <v>384</v>
      </c>
      <c r="C70" s="5">
        <v>9.9499999999999993</v>
      </c>
      <c r="D70" s="5">
        <v>9.57</v>
      </c>
      <c r="E70" s="5">
        <v>10.78</v>
      </c>
      <c r="F70" s="5">
        <v>11.03</v>
      </c>
      <c r="G70" s="5">
        <v>11.63</v>
      </c>
      <c r="H70" s="5">
        <v>10.02</v>
      </c>
      <c r="I70" s="5">
        <v>10.67</v>
      </c>
      <c r="J70" s="5">
        <v>10.66</v>
      </c>
      <c r="K70" s="5">
        <v>11.35</v>
      </c>
    </row>
    <row r="71" spans="1:11" x14ac:dyDescent="0.25">
      <c r="A71" s="5" t="s">
        <v>106</v>
      </c>
      <c r="B71" s="5" t="s">
        <v>446</v>
      </c>
      <c r="C71" s="5">
        <v>30.41</v>
      </c>
      <c r="D71" s="5">
        <v>30.03</v>
      </c>
      <c r="E71" s="5">
        <v>29.85</v>
      </c>
      <c r="F71" s="5">
        <v>30.07</v>
      </c>
      <c r="G71" s="5">
        <v>29.79</v>
      </c>
      <c r="H71" s="5">
        <v>30.14</v>
      </c>
      <c r="I71" s="5">
        <v>30.35</v>
      </c>
      <c r="J71" s="5">
        <v>30.68</v>
      </c>
      <c r="K71" s="5">
        <v>30.72</v>
      </c>
    </row>
    <row r="72" spans="1:11" x14ac:dyDescent="0.25">
      <c r="A72" s="5" t="s">
        <v>8</v>
      </c>
      <c r="B72" s="5" t="s">
        <v>386</v>
      </c>
      <c r="C72" s="5">
        <v>6.91</v>
      </c>
      <c r="D72" s="5">
        <v>6.32</v>
      </c>
      <c r="E72" s="5">
        <v>7.63</v>
      </c>
      <c r="F72" s="5">
        <v>6.97</v>
      </c>
      <c r="G72" s="5">
        <v>8.27</v>
      </c>
      <c r="H72" s="5">
        <v>6.55</v>
      </c>
      <c r="I72" s="5">
        <v>7.37</v>
      </c>
      <c r="J72" s="5">
        <v>7.13</v>
      </c>
      <c r="K72" s="5">
        <v>7.89</v>
      </c>
    </row>
    <row r="73" spans="1:11" x14ac:dyDescent="0.25">
      <c r="A73" s="5" t="s">
        <v>108</v>
      </c>
      <c r="B73" s="5" t="s">
        <v>324</v>
      </c>
      <c r="C73" s="5">
        <v>29.03</v>
      </c>
      <c r="D73" s="5">
        <v>29.09</v>
      </c>
      <c r="E73" s="5">
        <v>28.68</v>
      </c>
      <c r="F73" s="5">
        <v>29.17</v>
      </c>
      <c r="G73" s="5">
        <v>29.23</v>
      </c>
      <c r="H73" s="5">
        <v>28.82</v>
      </c>
      <c r="I73" s="5">
        <v>28.94</v>
      </c>
      <c r="J73" s="5">
        <v>29.18</v>
      </c>
      <c r="K73" s="5">
        <v>29.53</v>
      </c>
    </row>
    <row r="74" spans="1:11" x14ac:dyDescent="0.25">
      <c r="A74" s="5" t="s">
        <v>109</v>
      </c>
      <c r="B74" s="5" t="s">
        <v>387</v>
      </c>
      <c r="C74" s="5">
        <v>16.2</v>
      </c>
      <c r="D74" s="5">
        <v>16.61</v>
      </c>
      <c r="E74" s="5">
        <v>17.170000000000002</v>
      </c>
      <c r="F74" s="5">
        <v>17.05</v>
      </c>
      <c r="G74" s="5">
        <v>17.32</v>
      </c>
      <c r="H74" s="5">
        <v>16</v>
      </c>
      <c r="I74" s="5">
        <v>18</v>
      </c>
      <c r="J74" s="5">
        <v>17.579999999999998</v>
      </c>
      <c r="K74" s="5">
        <v>16.86</v>
      </c>
    </row>
    <row r="75" spans="1:11" x14ac:dyDescent="0.25">
      <c r="A75" s="5" t="s">
        <v>107</v>
      </c>
      <c r="B75" s="5" t="s">
        <v>693</v>
      </c>
      <c r="C75" s="5">
        <v>8.94</v>
      </c>
      <c r="D75" s="5">
        <v>9.06</v>
      </c>
      <c r="E75" s="5">
        <v>8.82</v>
      </c>
      <c r="F75" s="5">
        <v>8.77</v>
      </c>
      <c r="G75" s="5">
        <v>8.85</v>
      </c>
      <c r="H75" s="5">
        <v>8.64</v>
      </c>
      <c r="I75" s="5">
        <v>9.06</v>
      </c>
      <c r="J75" s="5">
        <v>8.7899999999999991</v>
      </c>
      <c r="K75" s="5">
        <v>8.4700000000000006</v>
      </c>
    </row>
    <row r="76" spans="1:11" x14ac:dyDescent="0.25">
      <c r="A76" s="5" t="s">
        <v>150</v>
      </c>
      <c r="B76" s="5" t="s">
        <v>694</v>
      </c>
      <c r="C76" s="5">
        <v>30.96</v>
      </c>
      <c r="D76" s="5">
        <v>30.6</v>
      </c>
      <c r="E76" s="5">
        <v>30.66</v>
      </c>
      <c r="F76" s="5">
        <v>30.54</v>
      </c>
      <c r="G76" s="5">
        <v>30.5</v>
      </c>
      <c r="H76" s="5">
        <v>30.29</v>
      </c>
      <c r="I76" s="5">
        <v>30.37</v>
      </c>
      <c r="J76" s="5">
        <v>30.74</v>
      </c>
      <c r="K76" s="5">
        <v>30.75</v>
      </c>
    </row>
    <row r="77" spans="1:11" x14ac:dyDescent="0.25">
      <c r="A77" s="5" t="s">
        <v>44</v>
      </c>
      <c r="B77" s="5" t="s">
        <v>325</v>
      </c>
      <c r="C77" s="5">
        <v>29.8</v>
      </c>
      <c r="D77" s="5">
        <v>29.48</v>
      </c>
      <c r="E77" s="5">
        <v>29.66</v>
      </c>
      <c r="F77" s="5">
        <v>29.56</v>
      </c>
      <c r="G77" s="5">
        <v>29.9</v>
      </c>
      <c r="H77" s="5">
        <v>29.82</v>
      </c>
      <c r="I77" s="5">
        <v>29.62</v>
      </c>
      <c r="J77" s="5">
        <v>29.43</v>
      </c>
      <c r="K77" s="5">
        <v>29.83</v>
      </c>
    </row>
    <row r="78" spans="1:11" x14ac:dyDescent="0.25">
      <c r="A78" s="5" t="s">
        <v>208</v>
      </c>
      <c r="B78" s="5" t="s">
        <v>442</v>
      </c>
      <c r="C78" s="5">
        <v>12.81</v>
      </c>
      <c r="D78" s="5">
        <v>13</v>
      </c>
      <c r="E78" s="5">
        <v>13.13</v>
      </c>
      <c r="F78" s="5">
        <v>13.12</v>
      </c>
      <c r="G78" s="5">
        <v>13.23</v>
      </c>
      <c r="H78" s="5">
        <v>12.85</v>
      </c>
      <c r="I78" s="5">
        <v>13.83</v>
      </c>
      <c r="J78" s="5">
        <v>13.57</v>
      </c>
      <c r="K78" s="5">
        <v>13.13</v>
      </c>
    </row>
    <row r="79" spans="1:11" x14ac:dyDescent="0.25">
      <c r="A79" s="5" t="s">
        <v>19</v>
      </c>
      <c r="B79" s="5" t="s">
        <v>326</v>
      </c>
      <c r="C79" s="5">
        <v>14.78</v>
      </c>
      <c r="D79" s="5">
        <v>15.15</v>
      </c>
      <c r="E79" s="5">
        <v>15.76</v>
      </c>
      <c r="F79" s="5">
        <v>15.5</v>
      </c>
      <c r="G79" s="5">
        <v>15.32</v>
      </c>
      <c r="H79" s="5">
        <v>15.57</v>
      </c>
      <c r="I79" s="5">
        <v>15.3</v>
      </c>
      <c r="J79" s="5">
        <v>15.84</v>
      </c>
      <c r="K79" s="5">
        <v>15.79</v>
      </c>
    </row>
    <row r="80" spans="1:11" x14ac:dyDescent="0.25">
      <c r="A80" s="5" t="s">
        <v>695</v>
      </c>
      <c r="B80" s="5" t="s">
        <v>696</v>
      </c>
      <c r="C80" s="5">
        <v>14.82</v>
      </c>
      <c r="D80" s="5">
        <v>15.04</v>
      </c>
      <c r="E80" s="5">
        <v>15.26</v>
      </c>
      <c r="F80" s="5">
        <v>15.2</v>
      </c>
      <c r="G80" s="5">
        <v>15.41</v>
      </c>
      <c r="H80" s="5">
        <v>14.81</v>
      </c>
      <c r="I80" s="5">
        <v>16.03</v>
      </c>
      <c r="J80" s="5">
        <v>15.75</v>
      </c>
      <c r="K80" s="5">
        <v>15.04</v>
      </c>
    </row>
    <row r="81" spans="1:11" x14ac:dyDescent="0.25">
      <c r="A81" s="5" t="s">
        <v>112</v>
      </c>
      <c r="B81" s="5" t="s">
        <v>267</v>
      </c>
      <c r="C81" s="5">
        <v>33.22</v>
      </c>
      <c r="D81" s="5">
        <v>33.21</v>
      </c>
      <c r="E81" s="5">
        <v>32.94</v>
      </c>
      <c r="F81" s="5">
        <v>32.99</v>
      </c>
      <c r="G81" s="5">
        <v>33.200000000000003</v>
      </c>
      <c r="H81" s="5">
        <v>33.47</v>
      </c>
      <c r="I81" s="5">
        <v>32.78</v>
      </c>
      <c r="J81" s="5">
        <v>33.47</v>
      </c>
      <c r="K81" s="5">
        <v>33.479999999999997</v>
      </c>
    </row>
    <row r="82" spans="1:11" x14ac:dyDescent="0.25">
      <c r="A82" s="5" t="s">
        <v>113</v>
      </c>
      <c r="B82" s="5" t="s">
        <v>697</v>
      </c>
      <c r="C82" s="5">
        <v>22.58</v>
      </c>
      <c r="D82" s="5">
        <v>23.32</v>
      </c>
      <c r="E82" s="5">
        <v>21.79</v>
      </c>
      <c r="F82" s="5">
        <v>22.59</v>
      </c>
      <c r="G82" s="5">
        <v>22.88</v>
      </c>
      <c r="H82" s="5">
        <v>22.52</v>
      </c>
      <c r="I82" s="5">
        <v>23.3</v>
      </c>
      <c r="J82" s="5">
        <v>23.47</v>
      </c>
      <c r="K82" s="5">
        <v>23.27</v>
      </c>
    </row>
    <row r="83" spans="1:11" x14ac:dyDescent="0.25">
      <c r="A83" s="5" t="s">
        <v>119</v>
      </c>
      <c r="B83" s="5" t="s">
        <v>268</v>
      </c>
      <c r="C83" s="5">
        <v>32.31</v>
      </c>
      <c r="D83" s="5">
        <v>32.29</v>
      </c>
      <c r="E83" s="5">
        <v>32.06</v>
      </c>
      <c r="F83" s="5">
        <v>31.82</v>
      </c>
      <c r="G83" s="5">
        <v>32.380000000000003</v>
      </c>
      <c r="H83" s="5">
        <v>32.619999999999997</v>
      </c>
      <c r="I83" s="5">
        <v>31.87</v>
      </c>
      <c r="J83" s="5">
        <v>32.590000000000003</v>
      </c>
      <c r="K83" s="5">
        <v>32.520000000000003</v>
      </c>
    </row>
    <row r="84" spans="1:11" x14ac:dyDescent="0.25">
      <c r="A84" s="5" t="s">
        <v>698</v>
      </c>
      <c r="B84" s="5" t="s">
        <v>698</v>
      </c>
      <c r="C84" s="5">
        <v>29.73</v>
      </c>
      <c r="D84" s="5">
        <v>29.46</v>
      </c>
      <c r="E84" s="5">
        <v>29.17</v>
      </c>
      <c r="F84" s="5">
        <v>29.48</v>
      </c>
      <c r="G84" s="5">
        <v>29.54</v>
      </c>
      <c r="H84" s="5">
        <v>29.39</v>
      </c>
      <c r="I84" s="5">
        <v>29.23</v>
      </c>
      <c r="J84" s="5">
        <v>29.73</v>
      </c>
      <c r="K84" s="5">
        <v>30.22</v>
      </c>
    </row>
    <row r="85" spans="1:11" x14ac:dyDescent="0.25">
      <c r="A85" s="5" t="s">
        <v>111</v>
      </c>
      <c r="B85" s="5" t="s">
        <v>699</v>
      </c>
      <c r="C85" s="5">
        <v>35.97</v>
      </c>
      <c r="D85" s="5">
        <v>36.14</v>
      </c>
      <c r="E85" s="5">
        <v>35.53</v>
      </c>
      <c r="F85" s="5">
        <v>35.43</v>
      </c>
      <c r="G85" s="5">
        <v>36.33</v>
      </c>
      <c r="H85" s="5">
        <v>36.25</v>
      </c>
      <c r="I85" s="5">
        <v>35.659999999999997</v>
      </c>
      <c r="J85" s="5">
        <v>36.46</v>
      </c>
      <c r="K85" s="5">
        <v>35.950000000000003</v>
      </c>
    </row>
    <row r="86" spans="1:11" x14ac:dyDescent="0.25">
      <c r="A86" s="5" t="s">
        <v>120</v>
      </c>
      <c r="B86" s="5" t="s">
        <v>236</v>
      </c>
      <c r="C86" s="5">
        <v>34.47</v>
      </c>
      <c r="D86" s="5">
        <v>34.619999999999997</v>
      </c>
      <c r="E86" s="5">
        <v>34.22</v>
      </c>
      <c r="F86" s="5">
        <v>33.979999999999997</v>
      </c>
      <c r="G86" s="5">
        <v>34.799999999999997</v>
      </c>
      <c r="H86" s="5">
        <v>34.880000000000003</v>
      </c>
      <c r="I86" s="5">
        <v>34.130000000000003</v>
      </c>
      <c r="J86" s="5">
        <v>34.909999999999997</v>
      </c>
      <c r="K86" s="5">
        <v>34.520000000000003</v>
      </c>
    </row>
    <row r="87" spans="1:11" x14ac:dyDescent="0.25">
      <c r="A87" s="5" t="s">
        <v>103</v>
      </c>
      <c r="B87" s="5" t="s">
        <v>323</v>
      </c>
      <c r="C87" s="5">
        <v>28.81</v>
      </c>
      <c r="D87" s="5">
        <v>28.63</v>
      </c>
      <c r="E87" s="5">
        <v>28.77</v>
      </c>
      <c r="F87" s="5">
        <v>28.63</v>
      </c>
      <c r="G87" s="5">
        <v>28.91</v>
      </c>
      <c r="H87" s="5">
        <v>28.91</v>
      </c>
      <c r="I87" s="5">
        <v>28.76</v>
      </c>
      <c r="J87" s="5">
        <v>28.61</v>
      </c>
      <c r="K87" s="5">
        <v>28.88</v>
      </c>
    </row>
    <row r="88" spans="1:11" x14ac:dyDescent="0.25">
      <c r="A88" s="5" t="s">
        <v>114</v>
      </c>
      <c r="B88" s="5" t="s">
        <v>391</v>
      </c>
      <c r="C88" s="5">
        <v>19.940000000000001</v>
      </c>
      <c r="D88" s="5">
        <v>19.760000000000002</v>
      </c>
      <c r="E88" s="5">
        <v>20.16</v>
      </c>
      <c r="F88" s="5">
        <v>20.29</v>
      </c>
      <c r="G88" s="5">
        <v>20.38</v>
      </c>
      <c r="H88" s="5">
        <v>20.16</v>
      </c>
      <c r="I88" s="5">
        <v>20.12</v>
      </c>
      <c r="J88" s="5">
        <v>20.67</v>
      </c>
      <c r="K88" s="5">
        <v>21.21</v>
      </c>
    </row>
    <row r="89" spans="1:11" x14ac:dyDescent="0.25">
      <c r="A89" s="5" t="s">
        <v>116</v>
      </c>
      <c r="B89" s="5" t="s">
        <v>327</v>
      </c>
      <c r="C89" s="5">
        <v>30.57</v>
      </c>
      <c r="D89" s="5">
        <v>30.21</v>
      </c>
      <c r="E89" s="5">
        <v>29.84</v>
      </c>
      <c r="F89" s="5">
        <v>30.17</v>
      </c>
      <c r="G89" s="5">
        <v>30.24</v>
      </c>
      <c r="H89" s="5">
        <v>30.05</v>
      </c>
      <c r="I89" s="5">
        <v>29.88</v>
      </c>
      <c r="J89" s="5">
        <v>30.49</v>
      </c>
      <c r="K89" s="5">
        <v>30.97</v>
      </c>
    </row>
    <row r="90" spans="1:11" x14ac:dyDescent="0.25">
      <c r="A90" s="5" t="s">
        <v>115</v>
      </c>
      <c r="B90" s="5" t="s">
        <v>700</v>
      </c>
      <c r="C90" s="5">
        <v>-13.83</v>
      </c>
      <c r="D90" s="5">
        <v>-14.66</v>
      </c>
      <c r="E90" s="5">
        <v>-15.13</v>
      </c>
      <c r="F90" s="5">
        <v>-14.14</v>
      </c>
      <c r="G90" s="5">
        <v>-14.6</v>
      </c>
      <c r="H90" s="5">
        <v>-13.51</v>
      </c>
      <c r="I90" s="5">
        <v>-14.52</v>
      </c>
      <c r="J90" s="5">
        <v>-14.6</v>
      </c>
      <c r="K90" s="5">
        <v>-14.71</v>
      </c>
    </row>
    <row r="91" spans="1:11" x14ac:dyDescent="0.25">
      <c r="A91" s="5" t="s">
        <v>118</v>
      </c>
      <c r="B91" s="5" t="s">
        <v>328</v>
      </c>
      <c r="C91" s="5">
        <v>29.8</v>
      </c>
      <c r="D91" s="5">
        <v>29.67</v>
      </c>
      <c r="E91" s="5">
        <v>29.03</v>
      </c>
      <c r="F91" s="5">
        <v>29.76</v>
      </c>
      <c r="G91" s="5">
        <v>29.94</v>
      </c>
      <c r="H91" s="5">
        <v>29.66</v>
      </c>
      <c r="I91" s="5">
        <v>29.32</v>
      </c>
      <c r="J91" s="5">
        <v>29.83</v>
      </c>
      <c r="K91" s="5">
        <v>30.27</v>
      </c>
    </row>
    <row r="92" spans="1:11" x14ac:dyDescent="0.25">
      <c r="A92" s="5" t="s">
        <v>701</v>
      </c>
      <c r="B92" s="5" t="s">
        <v>701</v>
      </c>
      <c r="C92" s="5">
        <v>31.14</v>
      </c>
      <c r="D92" s="5">
        <v>30.85</v>
      </c>
      <c r="E92" s="5">
        <v>30.63</v>
      </c>
      <c r="F92" s="5">
        <v>30.96</v>
      </c>
      <c r="G92" s="5">
        <v>31.09</v>
      </c>
      <c r="H92" s="5">
        <v>30.8</v>
      </c>
      <c r="I92" s="5">
        <v>30.65</v>
      </c>
      <c r="J92" s="5">
        <v>31.26</v>
      </c>
      <c r="K92" s="5">
        <v>31.71</v>
      </c>
    </row>
    <row r="93" spans="1:11" x14ac:dyDescent="0.25">
      <c r="A93" s="5" t="s">
        <v>117</v>
      </c>
      <c r="B93" s="5" t="s">
        <v>702</v>
      </c>
      <c r="C93" s="5">
        <v>31.12</v>
      </c>
      <c r="D93" s="5">
        <v>30.89</v>
      </c>
      <c r="E93" s="5">
        <v>31.09</v>
      </c>
      <c r="F93" s="5">
        <v>30.95</v>
      </c>
      <c r="G93" s="5">
        <v>30.79</v>
      </c>
      <c r="H93" s="5">
        <v>30.65</v>
      </c>
      <c r="I93" s="5">
        <v>30.42</v>
      </c>
      <c r="J93" s="5">
        <v>30.28</v>
      </c>
      <c r="K93" s="5">
        <v>30.65</v>
      </c>
    </row>
    <row r="94" spans="1:11" x14ac:dyDescent="0.25">
      <c r="A94" s="5" t="s">
        <v>121</v>
      </c>
      <c r="B94" s="5" t="s">
        <v>394</v>
      </c>
      <c r="C94" s="5">
        <v>30.93</v>
      </c>
      <c r="D94" s="5">
        <v>30.89</v>
      </c>
      <c r="E94" s="5">
        <v>30.62</v>
      </c>
      <c r="F94" s="5">
        <v>30.86</v>
      </c>
      <c r="G94" s="5">
        <v>30.96</v>
      </c>
      <c r="H94" s="5">
        <v>30.67</v>
      </c>
      <c r="I94" s="5">
        <v>30.62</v>
      </c>
      <c r="J94" s="5">
        <v>31.14</v>
      </c>
      <c r="K94" s="5">
        <v>31.6</v>
      </c>
    </row>
    <row r="95" spans="1:11" x14ac:dyDescent="0.25">
      <c r="A95" s="5" t="s">
        <v>43</v>
      </c>
      <c r="B95" s="5" t="s">
        <v>43</v>
      </c>
      <c r="C95" s="5">
        <v>26.21</v>
      </c>
      <c r="D95" s="5">
        <v>26.51</v>
      </c>
      <c r="E95" s="5">
        <v>26.38</v>
      </c>
      <c r="F95" s="5">
        <v>26.86</v>
      </c>
      <c r="G95" s="5">
        <v>26.8</v>
      </c>
      <c r="H95" s="5">
        <v>27.29</v>
      </c>
      <c r="I95" s="5">
        <v>26.43</v>
      </c>
      <c r="J95" s="5">
        <v>26.92</v>
      </c>
      <c r="K95" s="5">
        <v>26.92</v>
      </c>
    </row>
    <row r="96" spans="1:11" x14ac:dyDescent="0.25">
      <c r="A96" s="5" t="s">
        <v>703</v>
      </c>
      <c r="B96" s="5" t="s">
        <v>704</v>
      </c>
      <c r="C96" s="5">
        <v>6.14</v>
      </c>
      <c r="D96" s="5">
        <v>6.02</v>
      </c>
      <c r="E96" s="5">
        <v>5.8</v>
      </c>
      <c r="F96" s="5">
        <v>5.74</v>
      </c>
      <c r="G96" s="5">
        <v>5.63</v>
      </c>
      <c r="H96" s="5">
        <v>5.76</v>
      </c>
      <c r="I96" s="5">
        <v>5.77</v>
      </c>
      <c r="J96" s="5">
        <v>6.47</v>
      </c>
      <c r="K96" s="5">
        <v>5.74</v>
      </c>
    </row>
    <row r="97" spans="1:11" x14ac:dyDescent="0.25">
      <c r="A97" s="5" t="s">
        <v>123</v>
      </c>
      <c r="B97" s="5" t="s">
        <v>270</v>
      </c>
      <c r="C97" s="5">
        <v>30.09</v>
      </c>
      <c r="D97" s="5">
        <v>29.93</v>
      </c>
      <c r="E97" s="5">
        <v>29.48</v>
      </c>
      <c r="F97" s="5">
        <v>30.04</v>
      </c>
      <c r="G97" s="5">
        <v>30.12</v>
      </c>
      <c r="H97" s="5">
        <v>29.92</v>
      </c>
      <c r="I97" s="5">
        <v>29.65</v>
      </c>
      <c r="J97" s="5">
        <v>30.2</v>
      </c>
      <c r="K97" s="5">
        <v>30.51</v>
      </c>
    </row>
    <row r="98" spans="1:11" x14ac:dyDescent="0.25">
      <c r="A98" s="5" t="s">
        <v>13</v>
      </c>
      <c r="B98" s="5" t="s">
        <v>379</v>
      </c>
      <c r="C98" s="5">
        <v>17.27</v>
      </c>
      <c r="D98" s="5">
        <v>17.52</v>
      </c>
      <c r="E98" s="5">
        <v>18.3</v>
      </c>
      <c r="F98" s="5">
        <v>18.32</v>
      </c>
      <c r="G98" s="5">
        <v>17.84</v>
      </c>
      <c r="H98" s="5">
        <v>17.170000000000002</v>
      </c>
      <c r="I98" s="5">
        <v>18.440000000000001</v>
      </c>
      <c r="J98" s="5">
        <v>18.489999999999998</v>
      </c>
      <c r="K98" s="5">
        <v>18.91</v>
      </c>
    </row>
    <row r="99" spans="1:11" x14ac:dyDescent="0.25">
      <c r="A99" s="5" t="s">
        <v>122</v>
      </c>
      <c r="B99" s="5" t="s">
        <v>269</v>
      </c>
      <c r="C99" s="5">
        <v>30.57</v>
      </c>
      <c r="D99" s="5">
        <v>30.45</v>
      </c>
      <c r="E99" s="5">
        <v>30.32</v>
      </c>
      <c r="F99" s="5">
        <v>30.63</v>
      </c>
      <c r="G99" s="5">
        <v>30.69</v>
      </c>
      <c r="H99" s="5">
        <v>30.47</v>
      </c>
      <c r="I99" s="5">
        <v>30.41</v>
      </c>
      <c r="J99" s="5">
        <v>30.91</v>
      </c>
      <c r="K99" s="5">
        <v>31.11</v>
      </c>
    </row>
    <row r="100" spans="1:11" x14ac:dyDescent="0.25">
      <c r="A100" s="5" t="s">
        <v>6</v>
      </c>
      <c r="B100" s="5" t="s">
        <v>396</v>
      </c>
      <c r="C100" s="5">
        <v>16.920000000000002</v>
      </c>
      <c r="D100" s="5">
        <v>17.190000000000001</v>
      </c>
      <c r="E100" s="5">
        <v>18.16</v>
      </c>
      <c r="F100" s="5">
        <v>18.3</v>
      </c>
      <c r="G100" s="5">
        <v>17.489999999999998</v>
      </c>
      <c r="H100" s="5">
        <v>16.8</v>
      </c>
      <c r="I100" s="5">
        <v>17.96</v>
      </c>
      <c r="J100" s="5">
        <v>18.22</v>
      </c>
      <c r="K100" s="5">
        <v>18.809999999999999</v>
      </c>
    </row>
    <row r="101" spans="1:11" x14ac:dyDescent="0.25">
      <c r="A101" s="5" t="s">
        <v>53</v>
      </c>
      <c r="B101" s="5" t="s">
        <v>329</v>
      </c>
      <c r="C101" s="5">
        <v>30.71</v>
      </c>
      <c r="D101" s="5">
        <v>30.72</v>
      </c>
      <c r="E101" s="5">
        <v>30.96</v>
      </c>
      <c r="F101" s="5">
        <v>31.11</v>
      </c>
      <c r="G101" s="5">
        <v>31.1</v>
      </c>
      <c r="H101" s="5">
        <v>30.9</v>
      </c>
      <c r="I101" s="5">
        <v>30.78</v>
      </c>
      <c r="J101" s="5">
        <v>30.68</v>
      </c>
      <c r="K101" s="5">
        <v>30.85</v>
      </c>
    </row>
    <row r="102" spans="1:11" x14ac:dyDescent="0.25">
      <c r="A102" s="5" t="s">
        <v>126</v>
      </c>
      <c r="B102" s="5" t="s">
        <v>705</v>
      </c>
      <c r="C102" s="5">
        <v>12.21</v>
      </c>
      <c r="D102" s="5">
        <v>12.38</v>
      </c>
      <c r="E102" s="5">
        <v>12.35</v>
      </c>
      <c r="F102" s="5">
        <v>12.4</v>
      </c>
      <c r="G102" s="5">
        <v>12.38</v>
      </c>
      <c r="H102" s="5">
        <v>12.42</v>
      </c>
      <c r="I102" s="5">
        <v>13.11</v>
      </c>
      <c r="J102" s="5">
        <v>13.01</v>
      </c>
      <c r="K102" s="5">
        <v>12.47</v>
      </c>
    </row>
    <row r="103" spans="1:11" x14ac:dyDescent="0.25">
      <c r="A103" s="5" t="s">
        <v>124</v>
      </c>
      <c r="B103" s="5" t="s">
        <v>271</v>
      </c>
      <c r="C103" s="5">
        <v>31.35</v>
      </c>
      <c r="D103" s="5">
        <v>31.19</v>
      </c>
      <c r="E103" s="5">
        <v>31.09</v>
      </c>
      <c r="F103" s="5">
        <v>30.99</v>
      </c>
      <c r="G103" s="5">
        <v>30.85</v>
      </c>
      <c r="H103" s="5">
        <v>31.06</v>
      </c>
      <c r="I103" s="5">
        <v>31.15</v>
      </c>
      <c r="J103" s="5">
        <v>31.01</v>
      </c>
      <c r="K103" s="5">
        <v>31.37</v>
      </c>
    </row>
    <row r="104" spans="1:11" x14ac:dyDescent="0.25">
      <c r="A104" s="5" t="s">
        <v>706</v>
      </c>
      <c r="B104" s="5" t="s">
        <v>707</v>
      </c>
      <c r="C104" s="5">
        <v>29.87</v>
      </c>
      <c r="D104" s="5">
        <v>29.87</v>
      </c>
      <c r="E104" s="5">
        <v>29.87</v>
      </c>
      <c r="F104" s="5">
        <v>29.87</v>
      </c>
      <c r="G104" s="5">
        <v>29.87</v>
      </c>
      <c r="H104" s="5">
        <v>29.87</v>
      </c>
      <c r="I104" s="5">
        <v>29.87</v>
      </c>
      <c r="J104" s="5">
        <v>29.87</v>
      </c>
      <c r="K104" s="5">
        <v>29.87</v>
      </c>
    </row>
    <row r="105" spans="1:11" x14ac:dyDescent="0.25">
      <c r="A105" s="5" t="s">
        <v>17</v>
      </c>
      <c r="B105" s="5" t="s">
        <v>398</v>
      </c>
      <c r="C105" s="5">
        <v>13.21</v>
      </c>
      <c r="D105" s="5">
        <v>13.39</v>
      </c>
      <c r="E105" s="5">
        <v>13.36</v>
      </c>
      <c r="F105" s="5">
        <v>13.36</v>
      </c>
      <c r="G105" s="5">
        <v>13.35</v>
      </c>
      <c r="H105" s="5">
        <v>13.42</v>
      </c>
      <c r="I105" s="5">
        <v>14.08</v>
      </c>
      <c r="J105" s="5">
        <v>13.99</v>
      </c>
      <c r="K105" s="5">
        <v>13.51</v>
      </c>
    </row>
    <row r="106" spans="1:11" x14ac:dyDescent="0.25">
      <c r="A106" s="5" t="s">
        <v>41</v>
      </c>
      <c r="B106" s="5" t="s">
        <v>708</v>
      </c>
      <c r="C106" s="5">
        <v>26.09</v>
      </c>
      <c r="D106" s="5">
        <v>26</v>
      </c>
      <c r="E106" s="5">
        <v>26.29</v>
      </c>
      <c r="F106" s="5">
        <v>25.64</v>
      </c>
      <c r="G106" s="5">
        <v>25.29</v>
      </c>
      <c r="H106" s="5">
        <v>26.92</v>
      </c>
      <c r="I106" s="5">
        <v>26.35</v>
      </c>
      <c r="J106" s="5">
        <v>26.65</v>
      </c>
      <c r="K106" s="5">
        <v>26.07</v>
      </c>
    </row>
    <row r="107" spans="1:11" x14ac:dyDescent="0.25">
      <c r="A107" s="5" t="s">
        <v>125</v>
      </c>
      <c r="B107" s="5" t="s">
        <v>331</v>
      </c>
      <c r="C107" s="5">
        <v>30.69</v>
      </c>
      <c r="D107" s="5">
        <v>30.84</v>
      </c>
      <c r="E107" s="5">
        <v>31.28</v>
      </c>
      <c r="F107" s="5">
        <v>30.65</v>
      </c>
      <c r="G107" s="5">
        <v>30.61</v>
      </c>
      <c r="H107" s="5">
        <v>31.78</v>
      </c>
      <c r="I107" s="5">
        <v>31.11</v>
      </c>
      <c r="J107" s="5">
        <v>31.26</v>
      </c>
      <c r="K107" s="5">
        <v>30.97</v>
      </c>
    </row>
    <row r="108" spans="1:11" x14ac:dyDescent="0.25">
      <c r="A108" s="5" t="s">
        <v>32</v>
      </c>
      <c r="B108" s="5" t="s">
        <v>397</v>
      </c>
      <c r="C108" s="5">
        <v>5.42</v>
      </c>
      <c r="D108" s="5">
        <v>5.21</v>
      </c>
      <c r="E108" s="5">
        <v>4.9000000000000004</v>
      </c>
      <c r="F108" s="5">
        <v>5.27</v>
      </c>
      <c r="G108" s="5">
        <v>4.87</v>
      </c>
      <c r="H108" s="5">
        <v>5.08</v>
      </c>
      <c r="I108" s="5">
        <v>5.05</v>
      </c>
      <c r="J108" s="5">
        <v>4.83</v>
      </c>
      <c r="K108" s="5">
        <v>4.26</v>
      </c>
    </row>
    <row r="109" spans="1:11" x14ac:dyDescent="0.25">
      <c r="A109" s="5" t="s">
        <v>127</v>
      </c>
      <c r="B109" s="5" t="s">
        <v>400</v>
      </c>
      <c r="C109" s="5">
        <v>26.59</v>
      </c>
      <c r="D109" s="5">
        <v>26.24</v>
      </c>
      <c r="E109" s="5">
        <v>26.74</v>
      </c>
      <c r="F109" s="5">
        <v>26.2</v>
      </c>
      <c r="G109" s="5">
        <v>26.28</v>
      </c>
      <c r="H109" s="5">
        <v>26.72</v>
      </c>
      <c r="I109" s="5">
        <v>25.93</v>
      </c>
      <c r="J109" s="5">
        <v>26.89</v>
      </c>
      <c r="K109" s="5">
        <v>26.84</v>
      </c>
    </row>
    <row r="110" spans="1:11" x14ac:dyDescent="0.25">
      <c r="A110" s="5" t="s">
        <v>23</v>
      </c>
      <c r="B110" s="5" t="s">
        <v>401</v>
      </c>
      <c r="C110" s="5">
        <v>17.75</v>
      </c>
      <c r="D110" s="5">
        <v>17.809999999999999</v>
      </c>
      <c r="E110" s="5">
        <v>18.23</v>
      </c>
      <c r="F110" s="5">
        <v>18.12</v>
      </c>
      <c r="G110" s="5">
        <v>18.22</v>
      </c>
      <c r="H110" s="5">
        <v>17.559999999999999</v>
      </c>
      <c r="I110" s="5">
        <v>18.760000000000002</v>
      </c>
      <c r="J110" s="5">
        <v>18.54</v>
      </c>
      <c r="K110" s="5">
        <v>18.73</v>
      </c>
    </row>
    <row r="111" spans="1:11" x14ac:dyDescent="0.25">
      <c r="A111" s="5" t="s">
        <v>128</v>
      </c>
      <c r="B111" s="5" t="s">
        <v>332</v>
      </c>
      <c r="C111" s="5">
        <v>30.55</v>
      </c>
      <c r="D111" s="5">
        <v>30.44</v>
      </c>
      <c r="E111" s="5">
        <v>30.34</v>
      </c>
      <c r="F111" s="5">
        <v>30.59</v>
      </c>
      <c r="G111" s="5">
        <v>30.7</v>
      </c>
      <c r="H111" s="5">
        <v>30.46</v>
      </c>
      <c r="I111" s="5">
        <v>30.47</v>
      </c>
      <c r="J111" s="5">
        <v>31.02</v>
      </c>
      <c r="K111" s="5">
        <v>30.9</v>
      </c>
    </row>
    <row r="112" spans="1:11" x14ac:dyDescent="0.25">
      <c r="A112" s="5" t="s">
        <v>709</v>
      </c>
      <c r="B112" s="5" t="s">
        <v>710</v>
      </c>
      <c r="C112" s="5">
        <v>15.27</v>
      </c>
      <c r="D112" s="5">
        <v>15.37</v>
      </c>
      <c r="E112" s="5">
        <v>16.239999999999998</v>
      </c>
      <c r="F112" s="5">
        <v>15.97</v>
      </c>
      <c r="G112" s="5">
        <v>16.350000000000001</v>
      </c>
      <c r="H112" s="5">
        <v>15.07</v>
      </c>
      <c r="I112" s="5">
        <v>17.05</v>
      </c>
      <c r="J112" s="5">
        <v>16.48</v>
      </c>
      <c r="K112" s="5">
        <v>15.72</v>
      </c>
    </row>
    <row r="113" spans="1:11" x14ac:dyDescent="0.25">
      <c r="A113" s="5" t="s">
        <v>34</v>
      </c>
      <c r="B113" s="5" t="s">
        <v>272</v>
      </c>
      <c r="C113" s="5">
        <v>27.29</v>
      </c>
      <c r="D113" s="5">
        <v>27.04</v>
      </c>
      <c r="E113" s="5">
        <v>27.41</v>
      </c>
      <c r="F113" s="5">
        <v>26.94</v>
      </c>
      <c r="G113" s="5">
        <v>26.99</v>
      </c>
      <c r="H113" s="5">
        <v>27.48</v>
      </c>
      <c r="I113" s="5">
        <v>26.68</v>
      </c>
      <c r="J113" s="5">
        <v>27.56</v>
      </c>
      <c r="K113" s="5">
        <v>27.44</v>
      </c>
    </row>
    <row r="114" spans="1:11" x14ac:dyDescent="0.25">
      <c r="A114" s="5" t="s">
        <v>129</v>
      </c>
      <c r="B114" s="5" t="s">
        <v>402</v>
      </c>
      <c r="C114" s="5">
        <v>16.489999999999998</v>
      </c>
      <c r="D114" s="5">
        <v>15.89</v>
      </c>
      <c r="E114" s="5">
        <v>16.53</v>
      </c>
      <c r="F114" s="5">
        <v>16.72</v>
      </c>
      <c r="G114" s="5">
        <v>16.59</v>
      </c>
      <c r="H114" s="5">
        <v>16.79</v>
      </c>
      <c r="I114" s="5">
        <v>16.690000000000001</v>
      </c>
      <c r="J114" s="5">
        <v>17.41</v>
      </c>
      <c r="K114" s="5">
        <v>17.34</v>
      </c>
    </row>
    <row r="115" spans="1:11" x14ac:dyDescent="0.25">
      <c r="A115" s="5" t="s">
        <v>130</v>
      </c>
      <c r="B115" s="5" t="s">
        <v>333</v>
      </c>
      <c r="C115" s="5">
        <v>13.82</v>
      </c>
      <c r="D115" s="5">
        <v>13.71</v>
      </c>
      <c r="E115" s="5">
        <v>12.58</v>
      </c>
      <c r="F115" s="5">
        <v>14.09</v>
      </c>
      <c r="G115" s="5">
        <v>14.38</v>
      </c>
      <c r="H115" s="5">
        <v>14.25</v>
      </c>
      <c r="I115" s="5">
        <v>14.09</v>
      </c>
      <c r="J115" s="5">
        <v>15.31</v>
      </c>
      <c r="K115" s="5">
        <v>14.17</v>
      </c>
    </row>
    <row r="116" spans="1:11" x14ac:dyDescent="0.25">
      <c r="A116" s="5" t="s">
        <v>131</v>
      </c>
      <c r="B116" s="5" t="s">
        <v>273</v>
      </c>
      <c r="C116" s="5">
        <v>31.36</v>
      </c>
      <c r="D116" s="5">
        <v>31.07</v>
      </c>
      <c r="E116" s="5">
        <v>30.73</v>
      </c>
      <c r="F116" s="5">
        <v>31.16</v>
      </c>
      <c r="G116" s="5">
        <v>31.09</v>
      </c>
      <c r="H116" s="5">
        <v>31.06</v>
      </c>
      <c r="I116" s="5">
        <v>31.1</v>
      </c>
      <c r="J116" s="5">
        <v>31.39</v>
      </c>
      <c r="K116" s="5">
        <v>31.04</v>
      </c>
    </row>
    <row r="117" spans="1:11" x14ac:dyDescent="0.25">
      <c r="A117" s="5" t="s">
        <v>135</v>
      </c>
      <c r="B117" s="5" t="s">
        <v>275</v>
      </c>
      <c r="C117" s="5">
        <v>9.77</v>
      </c>
      <c r="D117" s="5">
        <v>9.25</v>
      </c>
      <c r="E117" s="5">
        <v>9.14</v>
      </c>
      <c r="F117" s="5">
        <v>9.77</v>
      </c>
      <c r="G117" s="5">
        <v>8.9</v>
      </c>
      <c r="H117" s="5">
        <v>9.98</v>
      </c>
      <c r="I117" s="5">
        <v>9.77</v>
      </c>
      <c r="J117" s="5">
        <v>10.46</v>
      </c>
      <c r="K117" s="5">
        <v>9.36</v>
      </c>
    </row>
    <row r="118" spans="1:11" x14ac:dyDescent="0.25">
      <c r="A118" s="5" t="s">
        <v>83</v>
      </c>
      <c r="B118" s="5" t="s">
        <v>259</v>
      </c>
      <c r="C118" s="5">
        <v>32.42</v>
      </c>
      <c r="D118" s="5">
        <v>31.67</v>
      </c>
      <c r="E118" s="5">
        <v>31.7</v>
      </c>
      <c r="F118" s="5">
        <v>32.520000000000003</v>
      </c>
      <c r="G118" s="5">
        <v>32.340000000000003</v>
      </c>
      <c r="H118" s="5">
        <v>31.77</v>
      </c>
      <c r="I118" s="5">
        <v>31.5</v>
      </c>
      <c r="J118" s="5">
        <v>32.35</v>
      </c>
      <c r="K118" s="5">
        <v>32.619999999999997</v>
      </c>
    </row>
    <row r="119" spans="1:11" x14ac:dyDescent="0.25">
      <c r="A119" s="5" t="s">
        <v>132</v>
      </c>
      <c r="B119" s="5" t="s">
        <v>274</v>
      </c>
      <c r="C119" s="5">
        <v>30.95</v>
      </c>
      <c r="D119" s="5">
        <v>30.95</v>
      </c>
      <c r="E119" s="5">
        <v>30.94</v>
      </c>
      <c r="F119" s="5">
        <v>31.06</v>
      </c>
      <c r="G119" s="5">
        <v>31.06</v>
      </c>
      <c r="H119" s="5">
        <v>30.99</v>
      </c>
      <c r="I119" s="5">
        <v>30.85</v>
      </c>
      <c r="J119" s="5">
        <v>30.95</v>
      </c>
      <c r="K119" s="5">
        <v>30.98</v>
      </c>
    </row>
    <row r="120" spans="1:11" x14ac:dyDescent="0.25">
      <c r="A120" s="5" t="s">
        <v>191</v>
      </c>
      <c r="B120" s="5" t="s">
        <v>711</v>
      </c>
      <c r="C120" s="5">
        <v>31</v>
      </c>
      <c r="D120" s="5">
        <v>30.76</v>
      </c>
      <c r="E120" s="5">
        <v>30.48</v>
      </c>
      <c r="F120" s="5">
        <v>30.85</v>
      </c>
      <c r="G120" s="5">
        <v>30.88</v>
      </c>
      <c r="H120" s="5">
        <v>30.75</v>
      </c>
      <c r="I120" s="5">
        <v>30.6</v>
      </c>
      <c r="J120" s="5">
        <v>31.1</v>
      </c>
      <c r="K120" s="5">
        <v>31.54</v>
      </c>
    </row>
    <row r="121" spans="1:11" x14ac:dyDescent="0.25">
      <c r="A121" s="5" t="s">
        <v>46</v>
      </c>
      <c r="B121" s="5" t="s">
        <v>712</v>
      </c>
      <c r="C121" s="5">
        <v>18.13</v>
      </c>
      <c r="D121" s="5">
        <v>17.850000000000001</v>
      </c>
      <c r="E121" s="5">
        <v>17.87</v>
      </c>
      <c r="F121" s="5">
        <v>18.28</v>
      </c>
      <c r="G121" s="5">
        <v>17.87</v>
      </c>
      <c r="H121" s="5">
        <v>18.53</v>
      </c>
      <c r="I121" s="5">
        <v>18.29</v>
      </c>
      <c r="J121" s="5">
        <v>18.8</v>
      </c>
      <c r="K121" s="5">
        <v>18.940000000000001</v>
      </c>
    </row>
    <row r="122" spans="1:11" x14ac:dyDescent="0.25">
      <c r="A122" s="5" t="s">
        <v>713</v>
      </c>
      <c r="B122" s="5" t="s">
        <v>334</v>
      </c>
      <c r="C122" s="5">
        <v>15.27</v>
      </c>
      <c r="D122" s="5">
        <v>15.65</v>
      </c>
      <c r="E122" s="5">
        <v>16.11</v>
      </c>
      <c r="F122" s="5">
        <v>16.39</v>
      </c>
      <c r="G122" s="5">
        <v>15.86</v>
      </c>
      <c r="H122" s="5">
        <v>15.07</v>
      </c>
      <c r="I122" s="5">
        <v>16.16</v>
      </c>
      <c r="J122" s="5">
        <v>16.510000000000002</v>
      </c>
      <c r="K122" s="5">
        <v>17.11</v>
      </c>
    </row>
    <row r="123" spans="1:11" x14ac:dyDescent="0.25">
      <c r="A123" s="5" t="s">
        <v>54</v>
      </c>
      <c r="B123" s="5" t="s">
        <v>404</v>
      </c>
      <c r="C123" s="5">
        <v>33.9</v>
      </c>
      <c r="D123" s="5">
        <v>33.950000000000003</v>
      </c>
      <c r="E123" s="5">
        <v>34.21</v>
      </c>
      <c r="F123" s="5">
        <v>33.76</v>
      </c>
      <c r="G123" s="5">
        <v>33.630000000000003</v>
      </c>
      <c r="H123" s="5">
        <v>34.909999999999997</v>
      </c>
      <c r="I123" s="5">
        <v>34.42</v>
      </c>
      <c r="J123" s="5">
        <v>34.409999999999997</v>
      </c>
      <c r="K123" s="5">
        <v>34.11</v>
      </c>
    </row>
    <row r="124" spans="1:11" x14ac:dyDescent="0.25">
      <c r="A124" s="5" t="s">
        <v>50</v>
      </c>
      <c r="B124" s="5" t="s">
        <v>714</v>
      </c>
      <c r="C124" s="5">
        <v>29.45</v>
      </c>
      <c r="D124" s="5">
        <v>28.73</v>
      </c>
      <c r="E124" s="5">
        <v>28.76</v>
      </c>
      <c r="F124" s="5">
        <v>29.99</v>
      </c>
      <c r="G124" s="5">
        <v>29.61</v>
      </c>
      <c r="H124" s="5">
        <v>29.03</v>
      </c>
      <c r="I124" s="5">
        <v>28.65</v>
      </c>
      <c r="J124" s="5">
        <v>29.73</v>
      </c>
      <c r="K124" s="5">
        <v>29.81</v>
      </c>
    </row>
    <row r="125" spans="1:11" x14ac:dyDescent="0.25">
      <c r="A125" s="5" t="s">
        <v>136</v>
      </c>
      <c r="B125" s="5" t="s">
        <v>277</v>
      </c>
      <c r="C125" s="5">
        <v>21.49</v>
      </c>
      <c r="D125" s="5">
        <v>21.27</v>
      </c>
      <c r="E125" s="5">
        <v>21.74</v>
      </c>
      <c r="F125" s="5">
        <v>21.08</v>
      </c>
      <c r="G125" s="5">
        <v>21.41</v>
      </c>
      <c r="H125" s="5">
        <v>21.71</v>
      </c>
      <c r="I125" s="5">
        <v>20.9</v>
      </c>
      <c r="J125" s="5">
        <v>21.72</v>
      </c>
      <c r="K125" s="5">
        <v>21.69</v>
      </c>
    </row>
    <row r="126" spans="1:11" x14ac:dyDescent="0.25">
      <c r="A126" s="5" t="s">
        <v>138</v>
      </c>
      <c r="B126" s="5" t="s">
        <v>238</v>
      </c>
      <c r="C126" s="5">
        <v>30.6</v>
      </c>
      <c r="D126" s="5">
        <v>30.46</v>
      </c>
      <c r="E126" s="5">
        <v>30.23</v>
      </c>
      <c r="F126" s="5">
        <v>30.12</v>
      </c>
      <c r="G126" s="5">
        <v>30.35</v>
      </c>
      <c r="H126" s="5">
        <v>30.53</v>
      </c>
      <c r="I126" s="5">
        <v>30.12</v>
      </c>
      <c r="J126" s="5">
        <v>30.52</v>
      </c>
      <c r="K126" s="5">
        <v>30.58</v>
      </c>
    </row>
    <row r="127" spans="1:11" x14ac:dyDescent="0.25">
      <c r="A127" s="5" t="s">
        <v>139</v>
      </c>
      <c r="B127" s="5" t="s">
        <v>335</v>
      </c>
      <c r="C127" s="5">
        <v>29.79</v>
      </c>
      <c r="D127" s="5">
        <v>29.37</v>
      </c>
      <c r="E127" s="5">
        <v>29.81</v>
      </c>
      <c r="F127" s="5">
        <v>29.45</v>
      </c>
      <c r="G127" s="5">
        <v>29.43</v>
      </c>
      <c r="H127" s="5">
        <v>29.85</v>
      </c>
      <c r="I127" s="5">
        <v>29.59</v>
      </c>
      <c r="J127" s="5">
        <v>29.77</v>
      </c>
      <c r="K127" s="5">
        <v>30.07</v>
      </c>
    </row>
    <row r="128" spans="1:11" x14ac:dyDescent="0.25">
      <c r="A128" s="5" t="s">
        <v>192</v>
      </c>
      <c r="B128" s="5" t="s">
        <v>715</v>
      </c>
      <c r="C128" s="5">
        <v>30.52</v>
      </c>
      <c r="D128" s="5">
        <v>30.23</v>
      </c>
      <c r="E128" s="5">
        <v>29.9</v>
      </c>
      <c r="F128" s="5">
        <v>30.21</v>
      </c>
      <c r="G128" s="5">
        <v>30.28</v>
      </c>
      <c r="H128" s="5">
        <v>30.15</v>
      </c>
      <c r="I128" s="5">
        <v>29.95</v>
      </c>
      <c r="J128" s="5">
        <v>30.5</v>
      </c>
      <c r="K128" s="5">
        <v>31.01</v>
      </c>
    </row>
    <row r="129" spans="1:11" x14ac:dyDescent="0.25">
      <c r="A129" s="5" t="s">
        <v>140</v>
      </c>
      <c r="B129" s="5" t="s">
        <v>406</v>
      </c>
      <c r="C129" s="5">
        <v>11.62</v>
      </c>
      <c r="D129" s="5">
        <v>11.92</v>
      </c>
      <c r="E129" s="5">
        <v>13.06</v>
      </c>
      <c r="F129" s="5">
        <v>12.58</v>
      </c>
      <c r="G129" s="5">
        <v>12.88</v>
      </c>
      <c r="H129" s="5">
        <v>11.37</v>
      </c>
      <c r="I129" s="5">
        <v>13.35</v>
      </c>
      <c r="J129" s="5">
        <v>13.33</v>
      </c>
      <c r="K129" s="5">
        <v>13.12</v>
      </c>
    </row>
    <row r="130" spans="1:11" x14ac:dyDescent="0.25">
      <c r="A130" s="5" t="s">
        <v>190</v>
      </c>
      <c r="B130" s="5" t="s">
        <v>293</v>
      </c>
      <c r="C130" s="5">
        <v>31.34</v>
      </c>
      <c r="D130" s="5">
        <v>31.07</v>
      </c>
      <c r="E130" s="5">
        <v>30.97</v>
      </c>
      <c r="F130" s="5">
        <v>31.3</v>
      </c>
      <c r="G130" s="5">
        <v>31.27</v>
      </c>
      <c r="H130" s="5">
        <v>31.03</v>
      </c>
      <c r="I130" s="5">
        <v>30.86</v>
      </c>
      <c r="J130" s="5">
        <v>31.06</v>
      </c>
      <c r="K130" s="5">
        <v>31.52</v>
      </c>
    </row>
    <row r="131" spans="1:11" x14ac:dyDescent="0.25">
      <c r="A131" s="5" t="s">
        <v>137</v>
      </c>
      <c r="B131" s="5" t="s">
        <v>278</v>
      </c>
      <c r="C131" s="5">
        <v>20.239999999999998</v>
      </c>
      <c r="D131" s="5">
        <v>19.940000000000001</v>
      </c>
      <c r="E131" s="5">
        <v>20.260000000000002</v>
      </c>
      <c r="F131" s="5">
        <v>20.9</v>
      </c>
      <c r="G131" s="5">
        <v>19.93</v>
      </c>
      <c r="H131" s="5">
        <v>19.59</v>
      </c>
      <c r="I131" s="5">
        <v>19.66</v>
      </c>
      <c r="J131" s="5">
        <v>20.239999999999998</v>
      </c>
      <c r="K131" s="5">
        <v>20.69</v>
      </c>
    </row>
    <row r="132" spans="1:11" x14ac:dyDescent="0.25">
      <c r="A132" s="5" t="s">
        <v>9</v>
      </c>
      <c r="B132" s="5" t="s">
        <v>407</v>
      </c>
      <c r="C132" s="5">
        <v>11.54</v>
      </c>
      <c r="D132" s="5">
        <v>11.17</v>
      </c>
      <c r="E132" s="5">
        <v>12.28</v>
      </c>
      <c r="F132" s="5">
        <v>12.88</v>
      </c>
      <c r="G132" s="5">
        <v>13.05</v>
      </c>
      <c r="H132" s="5">
        <v>11.36</v>
      </c>
      <c r="I132" s="5">
        <v>12.05</v>
      </c>
      <c r="J132" s="5">
        <v>12.68</v>
      </c>
      <c r="K132" s="5">
        <v>13.41</v>
      </c>
    </row>
    <row r="133" spans="1:11" x14ac:dyDescent="0.25">
      <c r="A133" s="5" t="s">
        <v>141</v>
      </c>
      <c r="B133" s="5" t="s">
        <v>408</v>
      </c>
      <c r="C133" s="5">
        <v>14.35</v>
      </c>
      <c r="D133" s="5">
        <v>14.84</v>
      </c>
      <c r="E133" s="5">
        <v>15.83</v>
      </c>
      <c r="F133" s="5">
        <v>15.39</v>
      </c>
      <c r="G133" s="5">
        <v>15.9</v>
      </c>
      <c r="H133" s="5">
        <v>14.07</v>
      </c>
      <c r="I133" s="5">
        <v>16.22</v>
      </c>
      <c r="J133" s="5">
        <v>15.69</v>
      </c>
      <c r="K133" s="5">
        <v>15.19</v>
      </c>
    </row>
    <row r="134" spans="1:11" x14ac:dyDescent="0.25">
      <c r="A134" s="5" t="s">
        <v>5</v>
      </c>
      <c r="B134" s="5" t="s">
        <v>405</v>
      </c>
      <c r="C134" s="5">
        <v>10.85</v>
      </c>
      <c r="D134" s="5">
        <v>10.52</v>
      </c>
      <c r="E134" s="5">
        <v>11.61</v>
      </c>
      <c r="F134" s="5">
        <v>12.14</v>
      </c>
      <c r="G134" s="5">
        <v>12.41</v>
      </c>
      <c r="H134" s="5">
        <v>10.79</v>
      </c>
      <c r="I134" s="5">
        <v>11.49</v>
      </c>
      <c r="J134" s="5">
        <v>11.9</v>
      </c>
      <c r="K134" s="5">
        <v>12.53</v>
      </c>
    </row>
    <row r="135" spans="1:11" x14ac:dyDescent="0.25">
      <c r="A135" s="5" t="s">
        <v>142</v>
      </c>
      <c r="B135" s="5" t="s">
        <v>142</v>
      </c>
      <c r="C135" s="5">
        <v>26.06</v>
      </c>
      <c r="D135" s="5">
        <v>26.37</v>
      </c>
      <c r="E135" s="5">
        <v>26.26</v>
      </c>
      <c r="F135" s="5">
        <v>26.79</v>
      </c>
      <c r="G135" s="5">
        <v>26.67</v>
      </c>
      <c r="H135" s="5">
        <v>27.09</v>
      </c>
      <c r="I135" s="5">
        <v>26.26</v>
      </c>
      <c r="J135" s="5">
        <v>26.79</v>
      </c>
      <c r="K135" s="5">
        <v>26.8</v>
      </c>
    </row>
    <row r="136" spans="1:11" x14ac:dyDescent="0.25">
      <c r="A136" s="5" t="s">
        <v>193</v>
      </c>
      <c r="B136" s="5" t="s">
        <v>716</v>
      </c>
      <c r="C136" s="5">
        <v>31.15</v>
      </c>
      <c r="D136" s="5">
        <v>30.95</v>
      </c>
      <c r="E136" s="5">
        <v>30.68</v>
      </c>
      <c r="F136" s="5">
        <v>31.07</v>
      </c>
      <c r="G136" s="5">
        <v>31.08</v>
      </c>
      <c r="H136" s="5">
        <v>30.95</v>
      </c>
      <c r="I136" s="5">
        <v>30.81</v>
      </c>
      <c r="J136" s="5">
        <v>31.28</v>
      </c>
      <c r="K136" s="5">
        <v>31.7</v>
      </c>
    </row>
    <row r="137" spans="1:11" x14ac:dyDescent="0.25">
      <c r="A137" s="5" t="s">
        <v>154</v>
      </c>
      <c r="B137" s="5" t="s">
        <v>281</v>
      </c>
      <c r="C137" s="5">
        <v>24.62</v>
      </c>
      <c r="D137" s="5">
        <v>24.92</v>
      </c>
      <c r="E137" s="5">
        <v>23.67</v>
      </c>
      <c r="F137" s="5">
        <v>24.32</v>
      </c>
      <c r="G137" s="5">
        <v>24.7</v>
      </c>
      <c r="H137" s="5">
        <v>24.47</v>
      </c>
      <c r="I137" s="5">
        <v>25.16</v>
      </c>
      <c r="J137" s="5">
        <v>25.25</v>
      </c>
      <c r="K137" s="5">
        <v>25.2</v>
      </c>
    </row>
    <row r="138" spans="1:11" x14ac:dyDescent="0.25">
      <c r="A138" s="5" t="s">
        <v>152</v>
      </c>
      <c r="B138" s="5" t="s">
        <v>411</v>
      </c>
      <c r="C138" s="5">
        <v>17.2</v>
      </c>
      <c r="D138" s="5">
        <v>17.53</v>
      </c>
      <c r="E138" s="5">
        <v>17.79</v>
      </c>
      <c r="F138" s="5">
        <v>17.82</v>
      </c>
      <c r="G138" s="5">
        <v>17.86</v>
      </c>
      <c r="H138" s="5">
        <v>17.11</v>
      </c>
      <c r="I138" s="5">
        <v>18.88</v>
      </c>
      <c r="J138" s="5">
        <v>18.45</v>
      </c>
      <c r="K138" s="5">
        <v>17.71</v>
      </c>
    </row>
    <row r="139" spans="1:11" x14ac:dyDescent="0.25">
      <c r="A139" s="5" t="s">
        <v>151</v>
      </c>
      <c r="B139" s="5" t="s">
        <v>341</v>
      </c>
      <c r="C139" s="5">
        <v>16.13</v>
      </c>
      <c r="D139" s="5">
        <v>16.14</v>
      </c>
      <c r="E139" s="5">
        <v>16.260000000000002</v>
      </c>
      <c r="F139" s="5">
        <v>17.22</v>
      </c>
      <c r="G139" s="5">
        <v>17.309999999999999</v>
      </c>
      <c r="H139" s="5">
        <v>15.56</v>
      </c>
      <c r="I139" s="5">
        <v>16.68</v>
      </c>
      <c r="J139" s="5">
        <v>17.52</v>
      </c>
      <c r="K139" s="5">
        <v>17.829999999999998</v>
      </c>
    </row>
    <row r="140" spans="1:11" x14ac:dyDescent="0.25">
      <c r="A140" s="5" t="s">
        <v>143</v>
      </c>
      <c r="B140" s="5" t="s">
        <v>239</v>
      </c>
      <c r="C140" s="5">
        <v>27.58</v>
      </c>
      <c r="D140" s="5">
        <v>27.83</v>
      </c>
      <c r="E140" s="5">
        <v>27.68</v>
      </c>
      <c r="F140" s="5">
        <v>27.89</v>
      </c>
      <c r="G140" s="5">
        <v>27.63</v>
      </c>
      <c r="H140" s="5">
        <v>27.6</v>
      </c>
      <c r="I140" s="5">
        <v>27.45</v>
      </c>
      <c r="J140" s="5">
        <v>27.85</v>
      </c>
      <c r="K140" s="5">
        <v>27.86</v>
      </c>
    </row>
    <row r="141" spans="1:11" x14ac:dyDescent="0.25">
      <c r="A141" s="5" t="s">
        <v>33</v>
      </c>
      <c r="B141" s="5" t="s">
        <v>337</v>
      </c>
      <c r="C141" s="5">
        <v>31.25</v>
      </c>
      <c r="D141" s="5">
        <v>31.05</v>
      </c>
      <c r="E141" s="5">
        <v>30.97</v>
      </c>
      <c r="F141" s="5">
        <v>31.12</v>
      </c>
      <c r="G141" s="5">
        <v>31.19</v>
      </c>
      <c r="H141" s="5">
        <v>31.02</v>
      </c>
      <c r="I141" s="5">
        <v>30.96</v>
      </c>
      <c r="J141" s="5">
        <v>31.08</v>
      </c>
      <c r="K141" s="5">
        <v>31.26</v>
      </c>
    </row>
    <row r="142" spans="1:11" x14ac:dyDescent="0.25">
      <c r="A142" s="5" t="s">
        <v>149</v>
      </c>
      <c r="B142" s="5" t="s">
        <v>340</v>
      </c>
      <c r="C142" s="5">
        <v>29.54</v>
      </c>
      <c r="D142" s="5">
        <v>29.88</v>
      </c>
      <c r="E142" s="5">
        <v>29.31</v>
      </c>
      <c r="F142" s="5">
        <v>29.48</v>
      </c>
      <c r="G142" s="5">
        <v>30.05</v>
      </c>
      <c r="H142" s="5">
        <v>29.63</v>
      </c>
      <c r="I142" s="5">
        <v>29.55</v>
      </c>
      <c r="J142" s="5">
        <v>29.89</v>
      </c>
      <c r="K142" s="5">
        <v>30.41</v>
      </c>
    </row>
    <row r="143" spans="1:11" x14ac:dyDescent="0.25">
      <c r="A143" s="5" t="s">
        <v>146</v>
      </c>
      <c r="B143" s="5" t="s">
        <v>338</v>
      </c>
      <c r="C143" s="5">
        <v>30.91</v>
      </c>
      <c r="D143" s="5">
        <v>30.84</v>
      </c>
      <c r="E143" s="5">
        <v>30.6</v>
      </c>
      <c r="F143" s="5">
        <v>30.86</v>
      </c>
      <c r="G143" s="5">
        <v>30.88</v>
      </c>
      <c r="H143" s="5">
        <v>30.62</v>
      </c>
      <c r="I143" s="5">
        <v>30.24</v>
      </c>
      <c r="J143" s="5">
        <v>30.54</v>
      </c>
      <c r="K143" s="5">
        <v>30.94</v>
      </c>
    </row>
    <row r="144" spans="1:11" x14ac:dyDescent="0.25">
      <c r="A144" s="5" t="s">
        <v>165</v>
      </c>
      <c r="B144" s="5" t="s">
        <v>344</v>
      </c>
      <c r="C144" s="5">
        <v>16.34</v>
      </c>
      <c r="D144" s="5">
        <v>16.41</v>
      </c>
      <c r="E144" s="5">
        <v>16.649999999999999</v>
      </c>
      <c r="F144" s="5">
        <v>16.850000000000001</v>
      </c>
      <c r="G144" s="5">
        <v>16.829999999999998</v>
      </c>
      <c r="H144" s="5">
        <v>16.2</v>
      </c>
      <c r="I144" s="5">
        <v>16.87</v>
      </c>
      <c r="J144" s="5">
        <v>17.3</v>
      </c>
      <c r="K144" s="5">
        <v>17.850000000000001</v>
      </c>
    </row>
    <row r="145" spans="1:11" x14ac:dyDescent="0.25">
      <c r="A145" s="5" t="s">
        <v>35</v>
      </c>
      <c r="B145" s="5" t="s">
        <v>241</v>
      </c>
      <c r="C145" s="5">
        <v>36.58</v>
      </c>
      <c r="D145" s="5">
        <v>36.549999999999997</v>
      </c>
      <c r="E145" s="5">
        <v>36.409999999999997</v>
      </c>
      <c r="F145" s="5">
        <v>36.29</v>
      </c>
      <c r="G145" s="5">
        <v>36.549999999999997</v>
      </c>
      <c r="H145" s="5">
        <v>36.97</v>
      </c>
      <c r="I145" s="5">
        <v>36.29</v>
      </c>
      <c r="J145" s="5">
        <v>36.9</v>
      </c>
      <c r="K145" s="5">
        <v>36.82</v>
      </c>
    </row>
    <row r="146" spans="1:11" x14ac:dyDescent="0.25">
      <c r="A146" s="5" t="s">
        <v>14</v>
      </c>
      <c r="B146" s="5" t="s">
        <v>410</v>
      </c>
      <c r="C146" s="5">
        <v>23.48</v>
      </c>
      <c r="D146" s="5">
        <v>23.26</v>
      </c>
      <c r="E146" s="5">
        <v>23.11</v>
      </c>
      <c r="F146" s="5">
        <v>23.03</v>
      </c>
      <c r="G146" s="5">
        <v>23.29</v>
      </c>
      <c r="H146" s="5">
        <v>23.41</v>
      </c>
      <c r="I146" s="5">
        <v>23.74</v>
      </c>
      <c r="J146" s="5">
        <v>23.73</v>
      </c>
      <c r="K146" s="5">
        <v>24.26</v>
      </c>
    </row>
    <row r="147" spans="1:11" x14ac:dyDescent="0.25">
      <c r="A147" s="5" t="s">
        <v>156</v>
      </c>
      <c r="B147" s="5" t="s">
        <v>282</v>
      </c>
      <c r="C147" s="5">
        <v>29.47</v>
      </c>
      <c r="D147" s="5">
        <v>29.08</v>
      </c>
      <c r="E147" s="5">
        <v>28.94</v>
      </c>
      <c r="F147" s="5">
        <v>29.79</v>
      </c>
      <c r="G147" s="5">
        <v>29.56</v>
      </c>
      <c r="H147" s="5">
        <v>29.44</v>
      </c>
      <c r="I147" s="5">
        <v>29.16</v>
      </c>
      <c r="J147" s="5">
        <v>29.86</v>
      </c>
      <c r="K147" s="5">
        <v>29.83</v>
      </c>
    </row>
    <row r="148" spans="1:11" x14ac:dyDescent="0.25">
      <c r="A148" s="5" t="s">
        <v>26</v>
      </c>
      <c r="B148" s="5" t="s">
        <v>343</v>
      </c>
      <c r="C148" s="5">
        <v>14.7</v>
      </c>
      <c r="D148" s="5">
        <v>14.9</v>
      </c>
      <c r="E148" s="5">
        <v>15.33</v>
      </c>
      <c r="F148" s="5">
        <v>15.53</v>
      </c>
      <c r="G148" s="5">
        <v>15.19</v>
      </c>
      <c r="H148" s="5">
        <v>14.47</v>
      </c>
      <c r="I148" s="5">
        <v>15.5</v>
      </c>
      <c r="J148" s="5">
        <v>15.68</v>
      </c>
      <c r="K148" s="5">
        <v>16.34</v>
      </c>
    </row>
    <row r="149" spans="1:11" x14ac:dyDescent="0.25">
      <c r="A149" s="5" t="s">
        <v>153</v>
      </c>
      <c r="B149" s="5" t="s">
        <v>342</v>
      </c>
      <c r="C149" s="5">
        <v>7.56</v>
      </c>
      <c r="D149" s="5">
        <v>9.06</v>
      </c>
      <c r="E149" s="5">
        <v>8.2100000000000009</v>
      </c>
      <c r="F149" s="5">
        <v>8.58</v>
      </c>
      <c r="G149" s="5">
        <v>8.31</v>
      </c>
      <c r="H149" s="5">
        <v>8.7899999999999991</v>
      </c>
      <c r="I149" s="5">
        <v>8.1199999999999992</v>
      </c>
      <c r="J149" s="5">
        <v>8.5</v>
      </c>
      <c r="K149" s="5">
        <v>8.9499999999999993</v>
      </c>
    </row>
    <row r="150" spans="1:11" x14ac:dyDescent="0.25">
      <c r="A150" s="5" t="s">
        <v>166</v>
      </c>
      <c r="B150" s="5" t="s">
        <v>717</v>
      </c>
      <c r="C150" s="5">
        <v>30.2</v>
      </c>
      <c r="D150" s="5">
        <v>30.11</v>
      </c>
      <c r="E150" s="5">
        <v>30.13</v>
      </c>
      <c r="F150" s="5">
        <v>30.22</v>
      </c>
      <c r="G150" s="5">
        <v>30.1</v>
      </c>
      <c r="H150" s="5">
        <v>30.09</v>
      </c>
      <c r="I150" s="5">
        <v>30.07</v>
      </c>
      <c r="J150" s="5">
        <v>29.85</v>
      </c>
      <c r="K150" s="5">
        <v>30.09</v>
      </c>
    </row>
    <row r="151" spans="1:11" x14ac:dyDescent="0.25">
      <c r="A151" s="5" t="s">
        <v>155</v>
      </c>
      <c r="B151" s="5" t="s">
        <v>242</v>
      </c>
      <c r="C151" s="5">
        <v>30.18</v>
      </c>
      <c r="D151" s="5">
        <v>29.84</v>
      </c>
      <c r="E151" s="5">
        <v>30.04</v>
      </c>
      <c r="F151" s="5">
        <v>30.3</v>
      </c>
      <c r="G151" s="5">
        <v>30.01</v>
      </c>
      <c r="H151" s="5">
        <v>29.98</v>
      </c>
      <c r="I151" s="5">
        <v>29.72</v>
      </c>
      <c r="J151" s="5">
        <v>30.28</v>
      </c>
      <c r="K151" s="5">
        <v>30.73</v>
      </c>
    </row>
    <row r="152" spans="1:11" x14ac:dyDescent="0.25">
      <c r="A152" s="5" t="s">
        <v>147</v>
      </c>
      <c r="B152" s="5" t="s">
        <v>279</v>
      </c>
      <c r="C152" s="5">
        <v>35.81</v>
      </c>
      <c r="D152" s="5">
        <v>35.86</v>
      </c>
      <c r="E152" s="5">
        <v>35.270000000000003</v>
      </c>
      <c r="F152" s="5">
        <v>35.25</v>
      </c>
      <c r="G152" s="5">
        <v>35.93</v>
      </c>
      <c r="H152" s="5">
        <v>35.92</v>
      </c>
      <c r="I152" s="5">
        <v>35.6</v>
      </c>
      <c r="J152" s="5">
        <v>36.14</v>
      </c>
      <c r="K152" s="5">
        <v>35.93</v>
      </c>
    </row>
    <row r="153" spans="1:11" x14ac:dyDescent="0.25">
      <c r="A153" s="5" t="s">
        <v>718</v>
      </c>
      <c r="B153" s="5" t="s">
        <v>719</v>
      </c>
      <c r="C153" s="5">
        <v>29.67</v>
      </c>
      <c r="D153" s="5">
        <v>29.4</v>
      </c>
      <c r="E153" s="5">
        <v>29.09</v>
      </c>
      <c r="F153" s="5">
        <v>29.46</v>
      </c>
      <c r="G153" s="5">
        <v>29.5</v>
      </c>
      <c r="H153" s="5">
        <v>29.38</v>
      </c>
      <c r="I153" s="5">
        <v>29.21</v>
      </c>
      <c r="J153" s="5">
        <v>29.74</v>
      </c>
      <c r="K153" s="5">
        <v>30.2</v>
      </c>
    </row>
    <row r="154" spans="1:11" x14ac:dyDescent="0.25">
      <c r="A154" s="5" t="s">
        <v>720</v>
      </c>
      <c r="B154" s="5" t="s">
        <v>720</v>
      </c>
      <c r="C154" s="5">
        <v>30.03</v>
      </c>
      <c r="D154" s="5">
        <v>29.77</v>
      </c>
      <c r="E154" s="5">
        <v>29.43</v>
      </c>
      <c r="F154" s="5">
        <v>29.75</v>
      </c>
      <c r="G154" s="5">
        <v>29.82</v>
      </c>
      <c r="H154" s="5">
        <v>29.68</v>
      </c>
      <c r="I154" s="5">
        <v>29.47</v>
      </c>
      <c r="J154" s="5">
        <v>30.03</v>
      </c>
      <c r="K154" s="5">
        <v>30.55</v>
      </c>
    </row>
    <row r="155" spans="1:11" x14ac:dyDescent="0.25">
      <c r="A155" s="5" t="s">
        <v>148</v>
      </c>
      <c r="B155" s="5" t="s">
        <v>339</v>
      </c>
      <c r="C155" s="5">
        <v>27.16</v>
      </c>
      <c r="D155" s="5">
        <v>27.74</v>
      </c>
      <c r="E155" s="5">
        <v>27.34</v>
      </c>
      <c r="F155" s="5">
        <v>27.75</v>
      </c>
      <c r="G155" s="5">
        <v>27.06</v>
      </c>
      <c r="H155" s="5">
        <v>27.29</v>
      </c>
      <c r="I155" s="5">
        <v>26.87</v>
      </c>
      <c r="J155" s="5">
        <v>27.93</v>
      </c>
      <c r="K155" s="5">
        <v>27.2</v>
      </c>
    </row>
    <row r="156" spans="1:11" x14ac:dyDescent="0.25">
      <c r="A156" s="5" t="s">
        <v>144</v>
      </c>
      <c r="B156" s="5" t="s">
        <v>240</v>
      </c>
      <c r="C156" s="5">
        <v>28.23</v>
      </c>
      <c r="D156" s="5">
        <v>28.19</v>
      </c>
      <c r="E156" s="5">
        <v>28.01</v>
      </c>
      <c r="F156" s="5">
        <v>28.31</v>
      </c>
      <c r="G156" s="5">
        <v>28.12</v>
      </c>
      <c r="H156" s="5">
        <v>28.08</v>
      </c>
      <c r="I156" s="5">
        <v>27.7</v>
      </c>
      <c r="J156" s="5">
        <v>28.38</v>
      </c>
      <c r="K156" s="5">
        <v>28.73</v>
      </c>
    </row>
    <row r="157" spans="1:11" x14ac:dyDescent="0.25">
      <c r="A157" s="5" t="s">
        <v>145</v>
      </c>
      <c r="B157" s="5" t="s">
        <v>336</v>
      </c>
      <c r="C157" s="5">
        <v>31</v>
      </c>
      <c r="D157" s="5">
        <v>31.11</v>
      </c>
      <c r="E157" s="5">
        <v>31.73</v>
      </c>
      <c r="F157" s="5">
        <v>32.04</v>
      </c>
      <c r="G157" s="5">
        <v>32.03</v>
      </c>
      <c r="H157" s="5">
        <v>31.81</v>
      </c>
      <c r="I157" s="5">
        <v>31.38</v>
      </c>
      <c r="J157" s="5">
        <v>30.88</v>
      </c>
      <c r="K157" s="5">
        <v>31.02</v>
      </c>
    </row>
    <row r="158" spans="1:11" x14ac:dyDescent="0.25">
      <c r="A158" s="5" t="s">
        <v>721</v>
      </c>
      <c r="B158" s="5" t="s">
        <v>721</v>
      </c>
      <c r="C158" s="5">
        <v>28.11</v>
      </c>
      <c r="D158" s="5">
        <v>28.34</v>
      </c>
      <c r="E158" s="5">
        <v>28.21</v>
      </c>
      <c r="F158" s="5">
        <v>28.44</v>
      </c>
      <c r="G158" s="5">
        <v>28.38</v>
      </c>
      <c r="H158" s="5">
        <v>28.19</v>
      </c>
      <c r="I158" s="5">
        <v>28.16</v>
      </c>
      <c r="J158" s="5">
        <v>28.6</v>
      </c>
      <c r="K158" s="5">
        <v>28.54</v>
      </c>
    </row>
    <row r="159" spans="1:11" x14ac:dyDescent="0.25">
      <c r="A159" s="5" t="s">
        <v>157</v>
      </c>
      <c r="B159" s="5" t="s">
        <v>283</v>
      </c>
      <c r="C159" s="5">
        <v>28.49</v>
      </c>
      <c r="D159" s="5">
        <v>28.04</v>
      </c>
      <c r="E159" s="5">
        <v>27.83</v>
      </c>
      <c r="F159" s="5">
        <v>28.26</v>
      </c>
      <c r="G159" s="5">
        <v>27.79</v>
      </c>
      <c r="H159" s="5">
        <v>27.61</v>
      </c>
      <c r="I159" s="5">
        <v>27.77</v>
      </c>
      <c r="J159" s="5">
        <v>28.24</v>
      </c>
      <c r="K159" s="5">
        <v>28.52</v>
      </c>
    </row>
    <row r="160" spans="1:11" x14ac:dyDescent="0.25">
      <c r="A160" s="5" t="s">
        <v>160</v>
      </c>
      <c r="B160" s="5" t="s">
        <v>722</v>
      </c>
      <c r="C160" s="5">
        <v>26.85</v>
      </c>
      <c r="D160" s="5">
        <v>26.72</v>
      </c>
      <c r="E160" s="5">
        <v>26.13</v>
      </c>
      <c r="F160" s="5">
        <v>26.3</v>
      </c>
      <c r="G160" s="5">
        <v>26.58</v>
      </c>
      <c r="H160" s="5">
        <v>26.46</v>
      </c>
      <c r="I160" s="5">
        <v>26.53</v>
      </c>
      <c r="J160" s="5">
        <v>26.08</v>
      </c>
      <c r="K160" s="5">
        <v>26.87</v>
      </c>
    </row>
    <row r="161" spans="1:11" x14ac:dyDescent="0.25">
      <c r="A161" s="5" t="s">
        <v>163</v>
      </c>
      <c r="B161" s="5" t="s">
        <v>243</v>
      </c>
      <c r="C161" s="5">
        <v>35.869999999999997</v>
      </c>
      <c r="D161" s="5">
        <v>35.369999999999997</v>
      </c>
      <c r="E161" s="5">
        <v>35.64</v>
      </c>
      <c r="F161" s="5">
        <v>35.270000000000003</v>
      </c>
      <c r="G161" s="5">
        <v>35.26</v>
      </c>
      <c r="H161" s="5">
        <v>35.700000000000003</v>
      </c>
      <c r="I161" s="5">
        <v>35.03</v>
      </c>
      <c r="J161" s="5">
        <v>35.840000000000003</v>
      </c>
      <c r="K161" s="5">
        <v>35.549999999999997</v>
      </c>
    </row>
    <row r="162" spans="1:11" x14ac:dyDescent="0.25">
      <c r="A162" s="5" t="s">
        <v>723</v>
      </c>
      <c r="B162" s="5" t="s">
        <v>724</v>
      </c>
      <c r="C162" s="5">
        <v>22.33</v>
      </c>
      <c r="D162" s="5">
        <v>22.26</v>
      </c>
      <c r="E162" s="5">
        <v>21.95</v>
      </c>
      <c r="F162" s="5">
        <v>21.98</v>
      </c>
      <c r="G162" s="5">
        <v>22.14</v>
      </c>
      <c r="H162" s="5">
        <v>21.98</v>
      </c>
      <c r="I162" s="5">
        <v>22.19</v>
      </c>
      <c r="J162" s="5">
        <v>21.89</v>
      </c>
      <c r="K162" s="5">
        <v>22.68</v>
      </c>
    </row>
    <row r="163" spans="1:11" x14ac:dyDescent="0.25">
      <c r="A163" s="5" t="s">
        <v>164</v>
      </c>
      <c r="B163" s="5" t="s">
        <v>286</v>
      </c>
      <c r="C163" s="5">
        <v>33.67</v>
      </c>
      <c r="D163" s="5">
        <v>33.29</v>
      </c>
      <c r="E163" s="5">
        <v>33.26</v>
      </c>
      <c r="F163" s="5">
        <v>33.07</v>
      </c>
      <c r="G163" s="5">
        <v>33.299999999999997</v>
      </c>
      <c r="H163" s="5">
        <v>33.68</v>
      </c>
      <c r="I163" s="5">
        <v>33.03</v>
      </c>
      <c r="J163" s="5">
        <v>33.68</v>
      </c>
      <c r="K163" s="5">
        <v>33.53</v>
      </c>
    </row>
    <row r="164" spans="1:11" x14ac:dyDescent="0.25">
      <c r="A164" s="5" t="s">
        <v>162</v>
      </c>
      <c r="B164" s="5" t="s">
        <v>285</v>
      </c>
      <c r="C164" s="5">
        <v>30.5</v>
      </c>
      <c r="D164" s="5">
        <v>30.38</v>
      </c>
      <c r="E164" s="5">
        <v>29.99</v>
      </c>
      <c r="F164" s="5">
        <v>30.34</v>
      </c>
      <c r="G164" s="5">
        <v>30.51</v>
      </c>
      <c r="H164" s="5">
        <v>30.33</v>
      </c>
      <c r="I164" s="5">
        <v>30.13</v>
      </c>
      <c r="J164" s="5">
        <v>30.82</v>
      </c>
      <c r="K164" s="5">
        <v>30.86</v>
      </c>
    </row>
    <row r="165" spans="1:11" x14ac:dyDescent="0.25">
      <c r="A165" s="5" t="s">
        <v>725</v>
      </c>
      <c r="B165" s="5" t="s">
        <v>726</v>
      </c>
      <c r="C165" s="5">
        <v>27.97</v>
      </c>
      <c r="D165" s="5">
        <v>27.88</v>
      </c>
      <c r="E165" s="5">
        <v>27.73</v>
      </c>
      <c r="F165" s="5">
        <v>27.92</v>
      </c>
      <c r="G165" s="5">
        <v>27.94</v>
      </c>
      <c r="H165" s="5">
        <v>27.81</v>
      </c>
      <c r="I165" s="5">
        <v>27.84</v>
      </c>
      <c r="J165" s="5">
        <v>27.91</v>
      </c>
      <c r="K165" s="5">
        <v>28.28</v>
      </c>
    </row>
    <row r="166" spans="1:11" x14ac:dyDescent="0.25">
      <c r="A166" s="5" t="s">
        <v>159</v>
      </c>
      <c r="B166" s="5" t="s">
        <v>413</v>
      </c>
      <c r="C166" s="5">
        <v>14.63</v>
      </c>
      <c r="D166" s="5">
        <v>14.79</v>
      </c>
      <c r="E166" s="5">
        <v>15.75</v>
      </c>
      <c r="F166" s="5">
        <v>15.49</v>
      </c>
      <c r="G166" s="5">
        <v>15.88</v>
      </c>
      <c r="H166" s="5">
        <v>14.3</v>
      </c>
      <c r="I166" s="5">
        <v>16.05</v>
      </c>
      <c r="J166" s="5">
        <v>15.66</v>
      </c>
      <c r="K166" s="5">
        <v>15.61</v>
      </c>
    </row>
    <row r="167" spans="1:11" x14ac:dyDescent="0.25">
      <c r="A167" s="5" t="s">
        <v>3</v>
      </c>
      <c r="B167" s="5" t="s">
        <v>417</v>
      </c>
      <c r="C167" s="5">
        <v>5.88</v>
      </c>
      <c r="D167" s="5">
        <v>5.56</v>
      </c>
      <c r="E167" s="5">
        <v>6.2</v>
      </c>
      <c r="F167" s="5">
        <v>5.71</v>
      </c>
      <c r="G167" s="5">
        <v>6.82</v>
      </c>
      <c r="H167" s="5">
        <v>5.51</v>
      </c>
      <c r="I167" s="5">
        <v>6.32</v>
      </c>
      <c r="J167" s="5">
        <v>5.77</v>
      </c>
      <c r="K167" s="5">
        <v>6.55</v>
      </c>
    </row>
    <row r="168" spans="1:11" x14ac:dyDescent="0.25">
      <c r="A168" s="5" t="s">
        <v>27</v>
      </c>
      <c r="B168" s="5" t="s">
        <v>284</v>
      </c>
      <c r="C168" s="5">
        <v>21.02</v>
      </c>
      <c r="D168" s="5">
        <v>20.64</v>
      </c>
      <c r="E168" s="5">
        <v>20.46</v>
      </c>
      <c r="F168" s="5">
        <v>20.14</v>
      </c>
      <c r="G168" s="5">
        <v>19.989999999999998</v>
      </c>
      <c r="H168" s="5">
        <v>20.3</v>
      </c>
      <c r="I168" s="5">
        <v>20.41</v>
      </c>
      <c r="J168" s="5">
        <v>20.22</v>
      </c>
      <c r="K168" s="5">
        <v>20.46</v>
      </c>
    </row>
    <row r="169" spans="1:11" x14ac:dyDescent="0.25">
      <c r="A169" s="5" t="s">
        <v>158</v>
      </c>
      <c r="B169" s="5" t="s">
        <v>412</v>
      </c>
      <c r="C169" s="5">
        <v>31.05</v>
      </c>
      <c r="D169" s="5">
        <v>31.01</v>
      </c>
      <c r="E169" s="5">
        <v>31.01</v>
      </c>
      <c r="F169" s="5">
        <v>31.25</v>
      </c>
      <c r="G169" s="5">
        <v>31.32</v>
      </c>
      <c r="H169" s="5">
        <v>31.28</v>
      </c>
      <c r="I169" s="5">
        <v>31.07</v>
      </c>
      <c r="J169" s="5">
        <v>31.09</v>
      </c>
      <c r="K169" s="5">
        <v>31.09</v>
      </c>
    </row>
    <row r="170" spans="1:11" x14ac:dyDescent="0.25">
      <c r="A170" s="5" t="s">
        <v>161</v>
      </c>
      <c r="B170" s="5" t="s">
        <v>415</v>
      </c>
      <c r="C170" s="5">
        <v>15.99</v>
      </c>
      <c r="D170" s="5">
        <v>15.74</v>
      </c>
      <c r="E170" s="5">
        <v>15.92</v>
      </c>
      <c r="F170" s="5">
        <v>15.69</v>
      </c>
      <c r="G170" s="5">
        <v>15.7</v>
      </c>
      <c r="H170" s="5">
        <v>15.99</v>
      </c>
      <c r="I170" s="5">
        <v>16.54</v>
      </c>
      <c r="J170" s="5">
        <v>16.170000000000002</v>
      </c>
      <c r="K170" s="5">
        <v>15.67</v>
      </c>
    </row>
    <row r="171" spans="1:11" x14ac:dyDescent="0.25">
      <c r="A171" s="5" t="s">
        <v>47</v>
      </c>
      <c r="B171" s="5" t="s">
        <v>418</v>
      </c>
      <c r="C171" s="5">
        <v>34.18</v>
      </c>
      <c r="D171" s="5">
        <v>34.25</v>
      </c>
      <c r="E171" s="5">
        <v>34.18</v>
      </c>
      <c r="F171" s="5">
        <v>34.19</v>
      </c>
      <c r="G171" s="5">
        <v>33.869999999999997</v>
      </c>
      <c r="H171" s="5">
        <v>34.25</v>
      </c>
      <c r="I171" s="5">
        <v>34.04</v>
      </c>
      <c r="J171" s="5">
        <v>34.49</v>
      </c>
      <c r="K171" s="5">
        <v>34.36</v>
      </c>
    </row>
    <row r="172" spans="1:11" x14ac:dyDescent="0.25">
      <c r="A172" s="5" t="s">
        <v>167</v>
      </c>
      <c r="B172" s="5" t="s">
        <v>287</v>
      </c>
      <c r="C172" s="5">
        <v>29.35</v>
      </c>
      <c r="D172" s="5">
        <v>29.17</v>
      </c>
      <c r="E172" s="5">
        <v>29.36</v>
      </c>
      <c r="F172" s="5">
        <v>28.48</v>
      </c>
      <c r="G172" s="5">
        <v>28.32</v>
      </c>
      <c r="H172" s="5">
        <v>29.21</v>
      </c>
      <c r="I172" s="5">
        <v>29.29</v>
      </c>
      <c r="J172" s="5">
        <v>28.93</v>
      </c>
      <c r="K172" s="5">
        <v>29.19</v>
      </c>
    </row>
    <row r="173" spans="1:11" x14ac:dyDescent="0.25">
      <c r="A173" s="5" t="s">
        <v>169</v>
      </c>
      <c r="B173" s="5" t="s">
        <v>420</v>
      </c>
      <c r="C173" s="5">
        <v>29.48</v>
      </c>
      <c r="D173" s="5">
        <v>29.15</v>
      </c>
      <c r="E173" s="5">
        <v>28.99</v>
      </c>
      <c r="F173" s="5">
        <v>29.3</v>
      </c>
      <c r="G173" s="5">
        <v>29.31</v>
      </c>
      <c r="H173" s="5">
        <v>28.94</v>
      </c>
      <c r="I173" s="5">
        <v>28.64</v>
      </c>
      <c r="J173" s="5">
        <v>29.53</v>
      </c>
      <c r="K173" s="5">
        <v>29.63</v>
      </c>
    </row>
    <row r="174" spans="1:11" x14ac:dyDescent="0.25">
      <c r="A174" s="5" t="s">
        <v>727</v>
      </c>
      <c r="B174" s="5" t="s">
        <v>728</v>
      </c>
      <c r="C174" s="5">
        <v>23.08</v>
      </c>
      <c r="D174" s="5">
        <v>23.41</v>
      </c>
      <c r="E174" s="5">
        <v>23.32</v>
      </c>
      <c r="F174" s="5">
        <v>22.61</v>
      </c>
      <c r="G174" s="5">
        <v>23.12</v>
      </c>
      <c r="H174" s="5">
        <v>23.46</v>
      </c>
      <c r="I174" s="5">
        <v>23.1</v>
      </c>
      <c r="J174" s="5">
        <v>23.19</v>
      </c>
      <c r="K174" s="5">
        <v>22.95</v>
      </c>
    </row>
    <row r="175" spans="1:11" x14ac:dyDescent="0.25">
      <c r="A175" s="5" t="s">
        <v>38</v>
      </c>
      <c r="B175" s="5" t="s">
        <v>346</v>
      </c>
      <c r="C175" s="5">
        <v>26.3</v>
      </c>
      <c r="D175" s="5">
        <v>26.05</v>
      </c>
      <c r="E175" s="5">
        <v>25.63</v>
      </c>
      <c r="F175" s="5">
        <v>25.68</v>
      </c>
      <c r="G175" s="5">
        <v>25.92</v>
      </c>
      <c r="H175" s="5">
        <v>25.74</v>
      </c>
      <c r="I175" s="5">
        <v>25.68</v>
      </c>
      <c r="J175" s="5">
        <v>27.04</v>
      </c>
      <c r="K175" s="5">
        <v>26.23</v>
      </c>
    </row>
    <row r="176" spans="1:11" x14ac:dyDescent="0.25">
      <c r="A176" s="5" t="s">
        <v>172</v>
      </c>
      <c r="B176" s="5" t="s">
        <v>289</v>
      </c>
      <c r="C176" s="5">
        <v>30.92</v>
      </c>
      <c r="D176" s="5">
        <v>30.37</v>
      </c>
      <c r="E176" s="5">
        <v>30.68</v>
      </c>
      <c r="F176" s="5">
        <v>30.72</v>
      </c>
      <c r="G176" s="5">
        <v>30.86</v>
      </c>
      <c r="H176" s="5">
        <v>30.78</v>
      </c>
      <c r="I176" s="5">
        <v>30.58</v>
      </c>
      <c r="J176" s="5">
        <v>30.83</v>
      </c>
      <c r="K176" s="5">
        <v>31.1</v>
      </c>
    </row>
    <row r="177" spans="1:11" x14ac:dyDescent="0.25">
      <c r="A177" s="5" t="s">
        <v>168</v>
      </c>
      <c r="B177" s="5" t="s">
        <v>419</v>
      </c>
      <c r="C177" s="5">
        <v>31.56</v>
      </c>
      <c r="D177" s="5">
        <v>31.05</v>
      </c>
      <c r="E177" s="5">
        <v>30.97</v>
      </c>
      <c r="F177" s="5">
        <v>30.53</v>
      </c>
      <c r="G177" s="5">
        <v>30.36</v>
      </c>
      <c r="H177" s="5">
        <v>30.09</v>
      </c>
      <c r="I177" s="5">
        <v>29.99</v>
      </c>
      <c r="J177" s="5">
        <v>30.12</v>
      </c>
      <c r="K177" s="5">
        <v>30.77</v>
      </c>
    </row>
    <row r="178" spans="1:11" x14ac:dyDescent="0.25">
      <c r="A178" s="5" t="s">
        <v>170</v>
      </c>
      <c r="B178" s="5" t="s">
        <v>288</v>
      </c>
      <c r="C178" s="5">
        <v>30.02</v>
      </c>
      <c r="D178" s="5">
        <v>30</v>
      </c>
      <c r="E178" s="5">
        <v>29.99</v>
      </c>
      <c r="F178" s="5">
        <v>29.98</v>
      </c>
      <c r="G178" s="5">
        <v>30.03</v>
      </c>
      <c r="H178" s="5">
        <v>30.02</v>
      </c>
      <c r="I178" s="5">
        <v>30.01</v>
      </c>
      <c r="J178" s="5">
        <v>30</v>
      </c>
      <c r="K178" s="5">
        <v>30.06</v>
      </c>
    </row>
    <row r="179" spans="1:11" x14ac:dyDescent="0.25">
      <c r="A179" s="5" t="s">
        <v>18</v>
      </c>
      <c r="B179" s="5" t="s">
        <v>421</v>
      </c>
      <c r="C179" s="5">
        <v>13.48</v>
      </c>
      <c r="D179" s="5">
        <v>13.23</v>
      </c>
      <c r="E179" s="5">
        <v>14.54</v>
      </c>
      <c r="F179" s="5">
        <v>14.68</v>
      </c>
      <c r="G179" s="5">
        <v>14.44</v>
      </c>
      <c r="H179" s="5">
        <v>13.08</v>
      </c>
      <c r="I179" s="5">
        <v>14.16</v>
      </c>
      <c r="J179" s="5">
        <v>14.58</v>
      </c>
      <c r="K179" s="5">
        <v>15.32</v>
      </c>
    </row>
    <row r="180" spans="1:11" x14ac:dyDescent="0.25">
      <c r="A180" s="5" t="s">
        <v>173</v>
      </c>
      <c r="B180" s="5" t="s">
        <v>729</v>
      </c>
      <c r="C180" s="5">
        <v>28.97</v>
      </c>
      <c r="D180" s="5">
        <v>28.74</v>
      </c>
      <c r="E180" s="5">
        <v>28.54</v>
      </c>
      <c r="F180" s="5">
        <v>28.86</v>
      </c>
      <c r="G180" s="5">
        <v>28.89</v>
      </c>
      <c r="H180" s="5">
        <v>28.75</v>
      </c>
      <c r="I180" s="5">
        <v>28.69</v>
      </c>
      <c r="J180" s="5">
        <v>29.12</v>
      </c>
      <c r="K180" s="5">
        <v>29.46</v>
      </c>
    </row>
    <row r="181" spans="1:11" x14ac:dyDescent="0.25">
      <c r="A181" s="5" t="s">
        <v>133</v>
      </c>
      <c r="B181" s="5" t="s">
        <v>730</v>
      </c>
      <c r="C181" s="5">
        <v>12.67</v>
      </c>
      <c r="D181" s="5">
        <v>12.74</v>
      </c>
      <c r="E181" s="5">
        <v>12.63</v>
      </c>
      <c r="F181" s="5">
        <v>13.24</v>
      </c>
      <c r="G181" s="5">
        <v>12.73</v>
      </c>
      <c r="H181" s="5">
        <v>13.33</v>
      </c>
      <c r="I181" s="5">
        <v>13</v>
      </c>
      <c r="J181" s="5">
        <v>13.56</v>
      </c>
      <c r="K181" s="5">
        <v>13.68</v>
      </c>
    </row>
    <row r="182" spans="1:11" x14ac:dyDescent="0.25">
      <c r="A182" s="5" t="s">
        <v>12</v>
      </c>
      <c r="B182" s="5" t="s">
        <v>422</v>
      </c>
      <c r="C182" s="5">
        <v>21.45</v>
      </c>
      <c r="D182" s="5">
        <v>22.4</v>
      </c>
      <c r="E182" s="5">
        <v>20.95</v>
      </c>
      <c r="F182" s="5">
        <v>21.69</v>
      </c>
      <c r="G182" s="5">
        <v>21.82</v>
      </c>
      <c r="H182" s="5">
        <v>21.32</v>
      </c>
      <c r="I182" s="5">
        <v>22.26</v>
      </c>
      <c r="J182" s="5">
        <v>22.39</v>
      </c>
      <c r="K182" s="5">
        <v>22.13</v>
      </c>
    </row>
    <row r="183" spans="1:11" x14ac:dyDescent="0.25">
      <c r="A183" s="5" t="s">
        <v>171</v>
      </c>
      <c r="B183" s="5" t="s">
        <v>345</v>
      </c>
      <c r="C183" s="5">
        <v>29.07</v>
      </c>
      <c r="D183" s="5">
        <v>30.01</v>
      </c>
      <c r="E183" s="5">
        <v>29.49</v>
      </c>
      <c r="F183" s="5">
        <v>29.92</v>
      </c>
      <c r="G183" s="5">
        <v>30.75</v>
      </c>
      <c r="H183" s="5">
        <v>29.99</v>
      </c>
      <c r="I183" s="5">
        <v>29.97</v>
      </c>
      <c r="J183" s="5">
        <v>30.77</v>
      </c>
      <c r="K183" s="5">
        <v>30.55</v>
      </c>
    </row>
    <row r="184" spans="1:11" x14ac:dyDescent="0.25">
      <c r="A184" s="5" t="s">
        <v>216</v>
      </c>
      <c r="B184" s="5" t="s">
        <v>301</v>
      </c>
      <c r="C184" s="5">
        <v>25.81</v>
      </c>
      <c r="D184" s="5">
        <v>25.48</v>
      </c>
      <c r="E184" s="5">
        <v>25.91</v>
      </c>
      <c r="F184" s="5">
        <v>25.37</v>
      </c>
      <c r="G184" s="5">
        <v>25.45</v>
      </c>
      <c r="H184" s="5">
        <v>25.87</v>
      </c>
      <c r="I184" s="5">
        <v>25.09</v>
      </c>
      <c r="J184" s="5">
        <v>26.09</v>
      </c>
      <c r="K184" s="5">
        <v>25.99</v>
      </c>
    </row>
    <row r="185" spans="1:11" x14ac:dyDescent="0.25">
      <c r="A185" s="5" t="s">
        <v>110</v>
      </c>
      <c r="B185" s="5" t="s">
        <v>731</v>
      </c>
      <c r="C185" s="5">
        <v>27.73</v>
      </c>
      <c r="D185" s="5">
        <v>27.53</v>
      </c>
      <c r="E185" s="5">
        <v>27.34</v>
      </c>
      <c r="F185" s="5">
        <v>27.56</v>
      </c>
      <c r="G185" s="5">
        <v>27.59</v>
      </c>
      <c r="H185" s="5">
        <v>27.52</v>
      </c>
      <c r="I185" s="5">
        <v>27.15</v>
      </c>
      <c r="J185" s="5">
        <v>27.75</v>
      </c>
      <c r="K185" s="5">
        <v>27.64</v>
      </c>
    </row>
    <row r="186" spans="1:11" x14ac:dyDescent="0.25">
      <c r="A186" s="5" t="s">
        <v>174</v>
      </c>
      <c r="B186" s="5" t="s">
        <v>424</v>
      </c>
      <c r="C186" s="5">
        <v>33.89</v>
      </c>
      <c r="D186" s="5">
        <v>33.72</v>
      </c>
      <c r="E186" s="5">
        <v>34.11</v>
      </c>
      <c r="F186" s="5">
        <v>33.53</v>
      </c>
      <c r="G186" s="5">
        <v>33.43</v>
      </c>
      <c r="H186" s="5">
        <v>34.520000000000003</v>
      </c>
      <c r="I186" s="5">
        <v>34.119999999999997</v>
      </c>
      <c r="J186" s="5">
        <v>34.229999999999997</v>
      </c>
      <c r="K186" s="5">
        <v>33.799999999999997</v>
      </c>
    </row>
    <row r="187" spans="1:11" x14ac:dyDescent="0.25">
      <c r="A187" s="5" t="s">
        <v>732</v>
      </c>
      <c r="B187" s="5" t="s">
        <v>732</v>
      </c>
      <c r="C187" s="5">
        <v>23.31</v>
      </c>
      <c r="D187" s="5">
        <v>23.84</v>
      </c>
      <c r="E187" s="5">
        <v>23.59</v>
      </c>
      <c r="F187" s="5">
        <v>24.03</v>
      </c>
      <c r="G187" s="5">
        <v>23.31</v>
      </c>
      <c r="H187" s="5">
        <v>23.64</v>
      </c>
      <c r="I187" s="5">
        <v>23.16</v>
      </c>
      <c r="J187" s="5">
        <v>23.97</v>
      </c>
      <c r="K187" s="5">
        <v>23.55</v>
      </c>
    </row>
    <row r="188" spans="1:11" x14ac:dyDescent="0.25">
      <c r="A188" s="5" t="s">
        <v>22</v>
      </c>
      <c r="B188" s="5" t="s">
        <v>425</v>
      </c>
      <c r="C188" s="5">
        <v>15.99</v>
      </c>
      <c r="D188" s="5">
        <v>16.100000000000001</v>
      </c>
      <c r="E188" s="5">
        <v>16.62</v>
      </c>
      <c r="F188" s="5">
        <v>17.2</v>
      </c>
      <c r="G188" s="5">
        <v>16.68</v>
      </c>
      <c r="H188" s="5">
        <v>15.58</v>
      </c>
      <c r="I188" s="5">
        <v>16.75</v>
      </c>
      <c r="J188" s="5">
        <v>17.309999999999999</v>
      </c>
      <c r="K188" s="5">
        <v>17.82</v>
      </c>
    </row>
    <row r="189" spans="1:11" x14ac:dyDescent="0.25">
      <c r="A189" s="5" t="s">
        <v>7</v>
      </c>
      <c r="B189" s="5" t="s">
        <v>426</v>
      </c>
      <c r="C189" s="5">
        <v>1.7</v>
      </c>
      <c r="D189" s="5">
        <v>1.92</v>
      </c>
      <c r="E189" s="5">
        <v>1.59</v>
      </c>
      <c r="F189" s="5">
        <v>2.16</v>
      </c>
      <c r="G189" s="5">
        <v>3.22</v>
      </c>
      <c r="H189" s="5">
        <v>1.38</v>
      </c>
      <c r="I189" s="5">
        <v>1.99</v>
      </c>
      <c r="J189" s="5">
        <v>2.21</v>
      </c>
      <c r="K189" s="5">
        <v>2.31</v>
      </c>
    </row>
    <row r="190" spans="1:11" x14ac:dyDescent="0.25">
      <c r="A190" s="5" t="s">
        <v>175</v>
      </c>
      <c r="B190" s="5" t="s">
        <v>244</v>
      </c>
      <c r="C190" s="5">
        <v>25.43</v>
      </c>
      <c r="D190" s="5">
        <v>25.51</v>
      </c>
      <c r="E190" s="5">
        <v>25.01</v>
      </c>
      <c r="F190" s="5">
        <v>25.29</v>
      </c>
      <c r="G190" s="5">
        <v>24.97</v>
      </c>
      <c r="H190" s="5">
        <v>25.4</v>
      </c>
      <c r="I190" s="5">
        <v>25.31</v>
      </c>
      <c r="J190" s="5">
        <v>25.47</v>
      </c>
      <c r="K190" s="5">
        <v>24.83</v>
      </c>
    </row>
    <row r="191" spans="1:11" x14ac:dyDescent="0.25">
      <c r="A191" s="5" t="s">
        <v>48</v>
      </c>
      <c r="B191" s="5" t="s">
        <v>428</v>
      </c>
      <c r="C191" s="5">
        <v>33.299999999999997</v>
      </c>
      <c r="D191" s="5">
        <v>33.32</v>
      </c>
      <c r="E191" s="5">
        <v>33.54</v>
      </c>
      <c r="F191" s="5">
        <v>33.26</v>
      </c>
      <c r="G191" s="5">
        <v>33.18</v>
      </c>
      <c r="H191" s="5">
        <v>33.79</v>
      </c>
      <c r="I191" s="5">
        <v>33.369999999999997</v>
      </c>
      <c r="J191" s="5">
        <v>33.590000000000003</v>
      </c>
      <c r="K191" s="5">
        <v>33.409999999999997</v>
      </c>
    </row>
    <row r="192" spans="1:11" x14ac:dyDescent="0.25">
      <c r="A192" s="5" t="s">
        <v>195</v>
      </c>
      <c r="B192" s="5" t="s">
        <v>248</v>
      </c>
      <c r="C192" s="5">
        <v>36.42</v>
      </c>
      <c r="D192" s="5">
        <v>36.15</v>
      </c>
      <c r="E192" s="5">
        <v>36.04</v>
      </c>
      <c r="F192" s="5">
        <v>35.840000000000003</v>
      </c>
      <c r="G192" s="5">
        <v>35.31</v>
      </c>
      <c r="H192" s="5">
        <v>36.03</v>
      </c>
      <c r="I192" s="5">
        <v>35.33</v>
      </c>
      <c r="J192" s="5">
        <v>35.590000000000003</v>
      </c>
      <c r="K192" s="5">
        <v>35.54</v>
      </c>
    </row>
    <row r="193" spans="1:11" x14ac:dyDescent="0.25">
      <c r="A193" s="5" t="s">
        <v>179</v>
      </c>
      <c r="B193" s="5" t="s">
        <v>291</v>
      </c>
      <c r="C193" s="5">
        <v>36.590000000000003</v>
      </c>
      <c r="D193" s="5">
        <v>36.729999999999997</v>
      </c>
      <c r="E193" s="5">
        <v>36.159999999999997</v>
      </c>
      <c r="F193" s="5">
        <v>35.96</v>
      </c>
      <c r="G193" s="5">
        <v>36.880000000000003</v>
      </c>
      <c r="H193" s="5">
        <v>36.869999999999997</v>
      </c>
      <c r="I193" s="5">
        <v>36.200000000000003</v>
      </c>
      <c r="J193" s="5">
        <v>37.04</v>
      </c>
      <c r="K193" s="5">
        <v>36.56</v>
      </c>
    </row>
    <row r="194" spans="1:11" x14ac:dyDescent="0.25">
      <c r="A194" s="5" t="s">
        <v>183</v>
      </c>
      <c r="B194" s="5" t="s">
        <v>430</v>
      </c>
      <c r="C194" s="5">
        <v>31.56</v>
      </c>
      <c r="D194" s="5">
        <v>31.81</v>
      </c>
      <c r="E194" s="5">
        <v>32.549999999999997</v>
      </c>
      <c r="F194" s="5">
        <v>32.97</v>
      </c>
      <c r="G194" s="5">
        <v>32.89</v>
      </c>
      <c r="H194" s="5">
        <v>32.369999999999997</v>
      </c>
      <c r="I194" s="5">
        <v>32.130000000000003</v>
      </c>
      <c r="J194" s="5">
        <v>31.44</v>
      </c>
      <c r="K194" s="5">
        <v>31.69</v>
      </c>
    </row>
    <row r="195" spans="1:11" x14ac:dyDescent="0.25">
      <c r="A195" s="5" t="s">
        <v>733</v>
      </c>
      <c r="B195" s="5" t="s">
        <v>734</v>
      </c>
      <c r="C195" s="5">
        <v>20.5</v>
      </c>
      <c r="D195" s="5">
        <v>20.350000000000001</v>
      </c>
      <c r="E195" s="5">
        <v>20.29</v>
      </c>
      <c r="F195" s="5">
        <v>20.57</v>
      </c>
      <c r="G195" s="5">
        <v>20.41</v>
      </c>
      <c r="H195" s="5">
        <v>20.399999999999999</v>
      </c>
      <c r="I195" s="5">
        <v>20.51</v>
      </c>
      <c r="J195" s="5">
        <v>20.45</v>
      </c>
      <c r="K195" s="5">
        <v>20.329999999999998</v>
      </c>
    </row>
    <row r="196" spans="1:11" x14ac:dyDescent="0.25">
      <c r="A196" s="5" t="s">
        <v>735</v>
      </c>
      <c r="B196" s="5" t="s">
        <v>736</v>
      </c>
      <c r="C196" s="5">
        <v>-0.99</v>
      </c>
      <c r="D196" s="5">
        <v>-2.71</v>
      </c>
      <c r="E196" s="5">
        <v>-2.4500000000000002</v>
      </c>
      <c r="F196" s="5">
        <v>-3.6</v>
      </c>
      <c r="G196" s="5">
        <v>-3.05</v>
      </c>
      <c r="H196" s="5">
        <v>-3.06</v>
      </c>
      <c r="I196" s="5">
        <v>-2.67</v>
      </c>
      <c r="J196" s="5">
        <v>-2.69</v>
      </c>
      <c r="K196" s="5">
        <v>-2.82</v>
      </c>
    </row>
    <row r="197" spans="1:11" x14ac:dyDescent="0.25">
      <c r="A197" s="5" t="s">
        <v>186</v>
      </c>
      <c r="B197" s="5" t="s">
        <v>292</v>
      </c>
      <c r="C197" s="5">
        <v>29.69</v>
      </c>
      <c r="D197" s="5">
        <v>29.69</v>
      </c>
      <c r="E197" s="5">
        <v>29.69</v>
      </c>
      <c r="F197" s="5">
        <v>29.69</v>
      </c>
      <c r="G197" s="5">
        <v>29.69</v>
      </c>
      <c r="H197" s="5">
        <v>29.69</v>
      </c>
      <c r="I197" s="5">
        <v>29.69</v>
      </c>
      <c r="J197" s="5">
        <v>29.69</v>
      </c>
      <c r="K197" s="5">
        <v>29.69</v>
      </c>
    </row>
    <row r="198" spans="1:11" x14ac:dyDescent="0.25">
      <c r="A198" s="5" t="s">
        <v>182</v>
      </c>
      <c r="B198" s="5" t="s">
        <v>245</v>
      </c>
      <c r="C198" s="5">
        <v>31.95</v>
      </c>
      <c r="D198" s="5">
        <v>31.92</v>
      </c>
      <c r="E198" s="5">
        <v>31.62</v>
      </c>
      <c r="F198" s="5">
        <v>31.54</v>
      </c>
      <c r="G198" s="5">
        <v>31.93</v>
      </c>
      <c r="H198" s="5">
        <v>32.200000000000003</v>
      </c>
      <c r="I198" s="5">
        <v>31.55</v>
      </c>
      <c r="J198" s="5">
        <v>32.29</v>
      </c>
      <c r="K198" s="5">
        <v>32.049999999999997</v>
      </c>
    </row>
    <row r="199" spans="1:11" x14ac:dyDescent="0.25">
      <c r="A199" s="5" t="s">
        <v>102</v>
      </c>
      <c r="B199" s="5" t="s">
        <v>322</v>
      </c>
      <c r="C199" s="5">
        <v>32</v>
      </c>
      <c r="D199" s="5">
        <v>31.84</v>
      </c>
      <c r="E199" s="5">
        <v>31.33</v>
      </c>
      <c r="F199" s="5">
        <v>31.77</v>
      </c>
      <c r="G199" s="5">
        <v>32.03</v>
      </c>
      <c r="H199" s="5">
        <v>31.79</v>
      </c>
      <c r="I199" s="5">
        <v>31.5</v>
      </c>
      <c r="J199" s="5">
        <v>32.119999999999997</v>
      </c>
      <c r="K199" s="5">
        <v>32.32</v>
      </c>
    </row>
    <row r="200" spans="1:11" x14ac:dyDescent="0.25">
      <c r="A200" s="5" t="s">
        <v>177</v>
      </c>
      <c r="B200" s="5" t="s">
        <v>427</v>
      </c>
      <c r="C200" s="5">
        <v>17.28</v>
      </c>
      <c r="D200" s="5">
        <v>17.399999999999999</v>
      </c>
      <c r="E200" s="5">
        <v>18.02</v>
      </c>
      <c r="F200" s="5">
        <v>17.84</v>
      </c>
      <c r="G200" s="5">
        <v>17.920000000000002</v>
      </c>
      <c r="H200" s="5">
        <v>17.07</v>
      </c>
      <c r="I200" s="5">
        <v>18.420000000000002</v>
      </c>
      <c r="J200" s="5">
        <v>17.95</v>
      </c>
      <c r="K200" s="5">
        <v>18.329999999999998</v>
      </c>
    </row>
    <row r="201" spans="1:11" x14ac:dyDescent="0.25">
      <c r="A201" s="5" t="s">
        <v>187</v>
      </c>
      <c r="B201" s="5" t="s">
        <v>737</v>
      </c>
      <c r="C201" s="5">
        <v>32.700000000000003</v>
      </c>
      <c r="D201" s="5">
        <v>32.46</v>
      </c>
      <c r="E201" s="5">
        <v>32.19</v>
      </c>
      <c r="F201" s="5">
        <v>32.51</v>
      </c>
      <c r="G201" s="5">
        <v>32.43</v>
      </c>
      <c r="H201" s="5">
        <v>32.35</v>
      </c>
      <c r="I201" s="5">
        <v>32.61</v>
      </c>
      <c r="J201" s="5">
        <v>32.630000000000003</v>
      </c>
      <c r="K201" s="5">
        <v>32.729999999999997</v>
      </c>
    </row>
    <row r="202" spans="1:11" x14ac:dyDescent="0.25">
      <c r="A202" s="5" t="s">
        <v>738</v>
      </c>
      <c r="B202" s="5" t="s">
        <v>739</v>
      </c>
      <c r="C202" s="5">
        <v>9.09</v>
      </c>
      <c r="D202" s="5">
        <v>9.44</v>
      </c>
      <c r="E202" s="5">
        <v>9.17</v>
      </c>
      <c r="F202" s="5">
        <v>9.16</v>
      </c>
      <c r="G202" s="5">
        <v>9.64</v>
      </c>
      <c r="H202" s="5">
        <v>9.93</v>
      </c>
      <c r="I202" s="5">
        <v>9.61</v>
      </c>
      <c r="J202" s="5">
        <v>9.6300000000000008</v>
      </c>
      <c r="K202" s="5">
        <v>10.029999999999999</v>
      </c>
    </row>
    <row r="203" spans="1:11" x14ac:dyDescent="0.25">
      <c r="A203" s="5" t="s">
        <v>180</v>
      </c>
      <c r="B203" s="5" t="s">
        <v>348</v>
      </c>
      <c r="C203" s="5">
        <v>16.79</v>
      </c>
      <c r="D203" s="5">
        <v>17.100000000000001</v>
      </c>
      <c r="E203" s="5">
        <v>17.78</v>
      </c>
      <c r="F203" s="5">
        <v>18.09</v>
      </c>
      <c r="G203" s="5">
        <v>17.309999999999999</v>
      </c>
      <c r="H203" s="5">
        <v>16.61</v>
      </c>
      <c r="I203" s="5">
        <v>17.829999999999998</v>
      </c>
      <c r="J203" s="5">
        <v>18.09</v>
      </c>
      <c r="K203" s="5">
        <v>18.690000000000001</v>
      </c>
    </row>
    <row r="204" spans="1:11" x14ac:dyDescent="0.25">
      <c r="A204" s="5" t="s">
        <v>189</v>
      </c>
      <c r="B204" s="5" t="s">
        <v>247</v>
      </c>
      <c r="C204" s="5">
        <v>34.99</v>
      </c>
      <c r="D204" s="5">
        <v>34.74</v>
      </c>
      <c r="E204" s="5">
        <v>34.39</v>
      </c>
      <c r="F204" s="5">
        <v>34.51</v>
      </c>
      <c r="G204" s="5">
        <v>34.200000000000003</v>
      </c>
      <c r="H204" s="5">
        <v>34.54</v>
      </c>
      <c r="I204" s="5">
        <v>34.06</v>
      </c>
      <c r="J204" s="5">
        <v>34.770000000000003</v>
      </c>
      <c r="K204" s="5">
        <v>34.83</v>
      </c>
    </row>
    <row r="205" spans="1:11" x14ac:dyDescent="0.25">
      <c r="A205" s="5" t="s">
        <v>178</v>
      </c>
      <c r="B205" s="5" t="s">
        <v>740</v>
      </c>
      <c r="C205" s="5">
        <v>27.71</v>
      </c>
      <c r="D205" s="5">
        <v>27.61</v>
      </c>
      <c r="E205" s="5">
        <v>27.87</v>
      </c>
      <c r="F205" s="5">
        <v>27.58</v>
      </c>
      <c r="G205" s="5">
        <v>27.76</v>
      </c>
      <c r="H205" s="5">
        <v>28.05</v>
      </c>
      <c r="I205" s="5">
        <v>27.79</v>
      </c>
      <c r="J205" s="5">
        <v>27.79</v>
      </c>
      <c r="K205" s="5">
        <v>27.95</v>
      </c>
    </row>
    <row r="206" spans="1:11" x14ac:dyDescent="0.25">
      <c r="A206" s="5" t="s">
        <v>196</v>
      </c>
      <c r="B206" s="5" t="s">
        <v>352</v>
      </c>
      <c r="C206" s="5">
        <v>31.49</v>
      </c>
      <c r="D206" s="5">
        <v>31.34</v>
      </c>
      <c r="E206" s="5">
        <v>31.12</v>
      </c>
      <c r="F206" s="5">
        <v>31.4</v>
      </c>
      <c r="G206" s="5">
        <v>31.51</v>
      </c>
      <c r="H206" s="5">
        <v>31.22</v>
      </c>
      <c r="I206" s="5">
        <v>31.14</v>
      </c>
      <c r="J206" s="5">
        <v>31.69</v>
      </c>
      <c r="K206" s="5">
        <v>32.17</v>
      </c>
    </row>
    <row r="207" spans="1:11" x14ac:dyDescent="0.25">
      <c r="A207" s="5" t="s">
        <v>185</v>
      </c>
      <c r="B207" s="5" t="s">
        <v>432</v>
      </c>
      <c r="C207" s="5">
        <v>14.33</v>
      </c>
      <c r="D207" s="5">
        <v>14.44</v>
      </c>
      <c r="E207" s="5">
        <v>15.53</v>
      </c>
      <c r="F207" s="5">
        <v>15.64</v>
      </c>
      <c r="G207" s="5">
        <v>15.03</v>
      </c>
      <c r="H207" s="5">
        <v>14.07</v>
      </c>
      <c r="I207" s="5">
        <v>15.22</v>
      </c>
      <c r="J207" s="5">
        <v>15.53</v>
      </c>
      <c r="K207" s="5">
        <v>16.23</v>
      </c>
    </row>
    <row r="208" spans="1:11" x14ac:dyDescent="0.25">
      <c r="A208" s="5" t="s">
        <v>4</v>
      </c>
      <c r="B208" s="5" t="s">
        <v>433</v>
      </c>
      <c r="C208" s="5">
        <v>15.06</v>
      </c>
      <c r="D208" s="5">
        <v>15.35</v>
      </c>
      <c r="E208" s="5">
        <v>16.34</v>
      </c>
      <c r="F208" s="5">
        <v>16.23</v>
      </c>
      <c r="G208" s="5">
        <v>15.75</v>
      </c>
      <c r="H208" s="5">
        <v>14.98</v>
      </c>
      <c r="I208" s="5">
        <v>16.350000000000001</v>
      </c>
      <c r="J208" s="5">
        <v>16.309999999999999</v>
      </c>
      <c r="K208" s="5">
        <v>16.579999999999998</v>
      </c>
    </row>
    <row r="209" spans="1:11" x14ac:dyDescent="0.25">
      <c r="A209" s="5" t="s">
        <v>2</v>
      </c>
      <c r="B209" s="5" t="s">
        <v>437</v>
      </c>
      <c r="C209" s="5">
        <v>7.7</v>
      </c>
      <c r="D209" s="5">
        <v>7.38</v>
      </c>
      <c r="E209" s="5">
        <v>8.3000000000000007</v>
      </c>
      <c r="F209" s="5">
        <v>7.82</v>
      </c>
      <c r="G209" s="5">
        <v>8.8800000000000008</v>
      </c>
      <c r="H209" s="5">
        <v>7.45</v>
      </c>
      <c r="I209" s="5">
        <v>8.26</v>
      </c>
      <c r="J209" s="5">
        <v>7.76</v>
      </c>
      <c r="K209" s="5">
        <v>8.5299999999999994</v>
      </c>
    </row>
    <row r="210" spans="1:11" x14ac:dyDescent="0.25">
      <c r="A210" s="5" t="s">
        <v>105</v>
      </c>
      <c r="B210" s="5" t="s">
        <v>266</v>
      </c>
      <c r="C210" s="5">
        <v>28.16</v>
      </c>
      <c r="D210" s="5">
        <v>27.16</v>
      </c>
      <c r="E210" s="5">
        <v>27.7</v>
      </c>
      <c r="F210" s="5">
        <v>28.2</v>
      </c>
      <c r="G210" s="5">
        <v>27.15</v>
      </c>
      <c r="H210" s="5">
        <v>26.92</v>
      </c>
      <c r="I210" s="5">
        <v>27.15</v>
      </c>
      <c r="J210" s="5">
        <v>27.51</v>
      </c>
      <c r="K210" s="5">
        <v>28.17</v>
      </c>
    </row>
    <row r="211" spans="1:11" x14ac:dyDescent="0.25">
      <c r="A211" s="5" t="s">
        <v>184</v>
      </c>
      <c r="B211" s="5" t="s">
        <v>741</v>
      </c>
      <c r="C211" s="5">
        <v>31.15</v>
      </c>
      <c r="D211" s="5">
        <v>30.95</v>
      </c>
      <c r="E211" s="5">
        <v>30.68</v>
      </c>
      <c r="F211" s="5">
        <v>31.07</v>
      </c>
      <c r="G211" s="5">
        <v>31.08</v>
      </c>
      <c r="H211" s="5">
        <v>30.95</v>
      </c>
      <c r="I211" s="5">
        <v>30.81</v>
      </c>
      <c r="J211" s="5">
        <v>31.28</v>
      </c>
      <c r="K211" s="5">
        <v>31.7</v>
      </c>
    </row>
    <row r="212" spans="1:11" x14ac:dyDescent="0.25">
      <c r="A212" s="5" t="s">
        <v>181</v>
      </c>
      <c r="B212" s="5" t="s">
        <v>429</v>
      </c>
      <c r="C212" s="5">
        <v>30.08</v>
      </c>
      <c r="D212" s="5">
        <v>30.2</v>
      </c>
      <c r="E212" s="5">
        <v>30.11</v>
      </c>
      <c r="F212" s="5">
        <v>30.31</v>
      </c>
      <c r="G212" s="5">
        <v>30.34</v>
      </c>
      <c r="H212" s="5">
        <v>30.05</v>
      </c>
      <c r="I212" s="5">
        <v>29.88</v>
      </c>
      <c r="J212" s="5">
        <v>30.37</v>
      </c>
      <c r="K212" s="5">
        <v>30.43</v>
      </c>
    </row>
    <row r="213" spans="1:11" x14ac:dyDescent="0.25">
      <c r="A213" s="5" t="s">
        <v>197</v>
      </c>
      <c r="B213" s="5" t="s">
        <v>249</v>
      </c>
      <c r="C213" s="5">
        <v>26.27</v>
      </c>
      <c r="D213" s="5">
        <v>26.25</v>
      </c>
      <c r="E213" s="5">
        <v>26.79</v>
      </c>
      <c r="F213" s="5">
        <v>26.06</v>
      </c>
      <c r="G213" s="5">
        <v>26.35</v>
      </c>
      <c r="H213" s="5">
        <v>26.74</v>
      </c>
      <c r="I213" s="5">
        <v>25.98</v>
      </c>
      <c r="J213" s="5">
        <v>26.63</v>
      </c>
      <c r="K213" s="5">
        <v>26.59</v>
      </c>
    </row>
    <row r="214" spans="1:11" x14ac:dyDescent="0.25">
      <c r="A214" s="5" t="s">
        <v>205</v>
      </c>
      <c r="B214" s="5" t="s">
        <v>742</v>
      </c>
      <c r="C214" s="5">
        <v>29.85</v>
      </c>
      <c r="D214" s="5">
        <v>30.12</v>
      </c>
      <c r="E214" s="5">
        <v>29.82</v>
      </c>
      <c r="F214" s="5">
        <v>30.38</v>
      </c>
      <c r="G214" s="5">
        <v>30.49</v>
      </c>
      <c r="H214" s="5">
        <v>30.14</v>
      </c>
      <c r="I214" s="5">
        <v>30.26</v>
      </c>
      <c r="J214" s="5">
        <v>30.88</v>
      </c>
      <c r="K214" s="5">
        <v>30.63</v>
      </c>
    </row>
    <row r="215" spans="1:11" x14ac:dyDescent="0.25">
      <c r="A215" s="5" t="s">
        <v>87</v>
      </c>
      <c r="B215" s="5" t="s">
        <v>232</v>
      </c>
      <c r="C215" s="5">
        <v>35.630000000000003</v>
      </c>
      <c r="D215" s="5">
        <v>35.200000000000003</v>
      </c>
      <c r="E215" s="5">
        <v>35.25</v>
      </c>
      <c r="F215" s="5">
        <v>35.28</v>
      </c>
      <c r="G215" s="5">
        <v>35</v>
      </c>
      <c r="H215" s="5">
        <v>35.340000000000003</v>
      </c>
      <c r="I215" s="5">
        <v>34.909999999999997</v>
      </c>
      <c r="J215" s="5">
        <v>35.159999999999997</v>
      </c>
      <c r="K215" s="5">
        <v>35.06</v>
      </c>
    </row>
    <row r="216" spans="1:11" x14ac:dyDescent="0.25">
      <c r="A216" s="5" t="s">
        <v>199</v>
      </c>
      <c r="B216" s="5" t="s">
        <v>250</v>
      </c>
      <c r="C216" s="5">
        <v>33.31</v>
      </c>
      <c r="D216" s="5">
        <v>33.26</v>
      </c>
      <c r="E216" s="5">
        <v>33</v>
      </c>
      <c r="F216" s="5">
        <v>33.06</v>
      </c>
      <c r="G216" s="5">
        <v>33.22</v>
      </c>
      <c r="H216" s="5">
        <v>33.49</v>
      </c>
      <c r="I216" s="5">
        <v>32.85</v>
      </c>
      <c r="J216" s="5">
        <v>33.51</v>
      </c>
      <c r="K216" s="5">
        <v>33.58</v>
      </c>
    </row>
    <row r="217" spans="1:11" x14ac:dyDescent="0.25">
      <c r="A217" s="5" t="s">
        <v>198</v>
      </c>
      <c r="B217" s="5" t="s">
        <v>353</v>
      </c>
      <c r="C217" s="5">
        <v>32.57</v>
      </c>
      <c r="D217" s="5">
        <v>31.79</v>
      </c>
      <c r="E217" s="5">
        <v>31.8</v>
      </c>
      <c r="F217" s="5">
        <v>32.86</v>
      </c>
      <c r="G217" s="5">
        <v>32.700000000000003</v>
      </c>
      <c r="H217" s="5">
        <v>31.98</v>
      </c>
      <c r="I217" s="5">
        <v>31.72</v>
      </c>
      <c r="J217" s="5">
        <v>32.64</v>
      </c>
      <c r="K217" s="5">
        <v>32.86</v>
      </c>
    </row>
    <row r="218" spans="1:11" x14ac:dyDescent="0.25">
      <c r="A218" s="5" t="s">
        <v>15</v>
      </c>
      <c r="B218" s="5" t="s">
        <v>294</v>
      </c>
      <c r="C218" s="5">
        <v>11.11</v>
      </c>
      <c r="D218" s="5">
        <v>10.68</v>
      </c>
      <c r="E218" s="5">
        <v>10.71</v>
      </c>
      <c r="F218" s="5">
        <v>10.9</v>
      </c>
      <c r="G218" s="5">
        <v>9.9</v>
      </c>
      <c r="H218" s="5">
        <v>11.25</v>
      </c>
      <c r="I218" s="5">
        <v>10.77</v>
      </c>
      <c r="J218" s="5">
        <v>11.58</v>
      </c>
      <c r="K218" s="5">
        <v>10.79</v>
      </c>
    </row>
    <row r="219" spans="1:11" x14ac:dyDescent="0.25">
      <c r="A219" s="5" t="s">
        <v>743</v>
      </c>
      <c r="B219" s="5" t="s">
        <v>744</v>
      </c>
      <c r="C219" s="5">
        <v>31.78</v>
      </c>
      <c r="D219" s="5">
        <v>31.66</v>
      </c>
      <c r="E219" s="5">
        <v>31.56</v>
      </c>
      <c r="F219" s="5">
        <v>31.74</v>
      </c>
      <c r="G219" s="5">
        <v>31.72</v>
      </c>
      <c r="H219" s="5">
        <v>31.58</v>
      </c>
      <c r="I219" s="5">
        <v>31.59</v>
      </c>
      <c r="J219" s="5">
        <v>31.71</v>
      </c>
      <c r="K219" s="5">
        <v>32</v>
      </c>
    </row>
    <row r="220" spans="1:11" x14ac:dyDescent="0.25">
      <c r="A220" s="5" t="s">
        <v>204</v>
      </c>
      <c r="B220" s="5" t="s">
        <v>356</v>
      </c>
      <c r="C220" s="5">
        <v>23.47</v>
      </c>
      <c r="D220" s="5">
        <v>23.26</v>
      </c>
      <c r="E220" s="5">
        <v>23.32</v>
      </c>
      <c r="F220" s="5">
        <v>23.53</v>
      </c>
      <c r="G220" s="5">
        <v>22.58</v>
      </c>
      <c r="H220" s="5">
        <v>24.28</v>
      </c>
      <c r="I220" s="5">
        <v>23.81</v>
      </c>
      <c r="J220" s="5">
        <v>24.95</v>
      </c>
      <c r="K220" s="5">
        <v>23.44</v>
      </c>
    </row>
    <row r="221" spans="1:11" x14ac:dyDescent="0.25">
      <c r="A221" s="5" t="s">
        <v>28</v>
      </c>
      <c r="B221" s="5" t="s">
        <v>296</v>
      </c>
      <c r="C221" s="5">
        <v>29.96</v>
      </c>
      <c r="D221" s="5">
        <v>29.54</v>
      </c>
      <c r="E221" s="5">
        <v>29.6</v>
      </c>
      <c r="F221" s="5">
        <v>29.64</v>
      </c>
      <c r="G221" s="5">
        <v>29.78</v>
      </c>
      <c r="H221" s="5">
        <v>29.68</v>
      </c>
      <c r="I221" s="5">
        <v>29.62</v>
      </c>
      <c r="J221" s="5">
        <v>29.55</v>
      </c>
      <c r="K221" s="5">
        <v>29.73</v>
      </c>
    </row>
    <row r="222" spans="1:11" x14ac:dyDescent="0.25">
      <c r="A222" s="5" t="s">
        <v>200</v>
      </c>
      <c r="B222" s="5" t="s">
        <v>354</v>
      </c>
      <c r="C222" s="5">
        <v>28.29</v>
      </c>
      <c r="D222" s="5">
        <v>28.21</v>
      </c>
      <c r="E222" s="5">
        <v>27.62</v>
      </c>
      <c r="F222" s="5">
        <v>27.96</v>
      </c>
      <c r="G222" s="5">
        <v>28.27</v>
      </c>
      <c r="H222" s="5">
        <v>27.8</v>
      </c>
      <c r="I222" s="5">
        <v>27.79</v>
      </c>
      <c r="J222" s="5">
        <v>27.83</v>
      </c>
      <c r="K222" s="5">
        <v>28.46</v>
      </c>
    </row>
    <row r="223" spans="1:11" x14ac:dyDescent="0.25">
      <c r="A223" s="5" t="s">
        <v>201</v>
      </c>
      <c r="B223" s="5" t="s">
        <v>439</v>
      </c>
      <c r="C223" s="5">
        <v>31.52</v>
      </c>
      <c r="D223" s="5">
        <v>31.15</v>
      </c>
      <c r="E223" s="5">
        <v>30.78</v>
      </c>
      <c r="F223" s="5">
        <v>31.09</v>
      </c>
      <c r="G223" s="5">
        <v>31.18</v>
      </c>
      <c r="H223" s="5">
        <v>30.94</v>
      </c>
      <c r="I223" s="5">
        <v>30.82</v>
      </c>
      <c r="J223" s="5">
        <v>31.44</v>
      </c>
      <c r="K223" s="5">
        <v>31.95</v>
      </c>
    </row>
    <row r="224" spans="1:11" x14ac:dyDescent="0.25">
      <c r="A224" s="5" t="s">
        <v>202</v>
      </c>
      <c r="B224" s="5" t="s">
        <v>297</v>
      </c>
      <c r="C224" s="5">
        <v>26.97</v>
      </c>
      <c r="D224" s="5">
        <v>26.67</v>
      </c>
      <c r="E224" s="5">
        <v>26.54</v>
      </c>
      <c r="F224" s="5">
        <v>26.49</v>
      </c>
      <c r="G224" s="5">
        <v>26.72</v>
      </c>
      <c r="H224" s="5">
        <v>27</v>
      </c>
      <c r="I224" s="5">
        <v>27.28</v>
      </c>
      <c r="J224" s="5">
        <v>27.09</v>
      </c>
      <c r="K224" s="5">
        <v>27.54</v>
      </c>
    </row>
    <row r="225" spans="1:11" x14ac:dyDescent="0.25">
      <c r="A225" s="5" t="s">
        <v>203</v>
      </c>
      <c r="B225" s="5" t="s">
        <v>745</v>
      </c>
      <c r="C225" s="5">
        <v>18.309999999999999</v>
      </c>
      <c r="D225" s="5">
        <v>18.16</v>
      </c>
      <c r="E225" s="5">
        <v>18.93</v>
      </c>
      <c r="F225" s="5">
        <v>18.48</v>
      </c>
      <c r="G225" s="5">
        <v>18.809999999999999</v>
      </c>
      <c r="H225" s="5">
        <v>18.690000000000001</v>
      </c>
      <c r="I225" s="5">
        <v>18.190000000000001</v>
      </c>
      <c r="J225" s="5">
        <v>18.940000000000001</v>
      </c>
      <c r="K225" s="5">
        <v>19.22</v>
      </c>
    </row>
    <row r="226" spans="1:11" x14ac:dyDescent="0.25">
      <c r="A226" s="5" t="s">
        <v>206</v>
      </c>
      <c r="B226" s="5" t="s">
        <v>357</v>
      </c>
      <c r="C226" s="5">
        <v>31.66</v>
      </c>
      <c r="D226" s="5">
        <v>31.63</v>
      </c>
      <c r="E226" s="5">
        <v>31.64</v>
      </c>
      <c r="F226" s="5">
        <v>31.69</v>
      </c>
      <c r="G226" s="5">
        <v>31.78</v>
      </c>
      <c r="H226" s="5">
        <v>31.65</v>
      </c>
      <c r="I226" s="5">
        <v>31.65</v>
      </c>
      <c r="J226" s="5">
        <v>31.68</v>
      </c>
      <c r="K226" s="5">
        <v>31.57</v>
      </c>
    </row>
    <row r="227" spans="1:11" x14ac:dyDescent="0.25">
      <c r="A227" s="5" t="s">
        <v>746</v>
      </c>
      <c r="B227" s="5" t="s">
        <v>746</v>
      </c>
      <c r="C227" s="5">
        <v>24.31</v>
      </c>
      <c r="D227" s="5">
        <v>24.19</v>
      </c>
      <c r="E227" s="5">
        <v>24.04</v>
      </c>
      <c r="F227" s="5">
        <v>24.53</v>
      </c>
      <c r="G227" s="5">
        <v>24.43</v>
      </c>
      <c r="H227" s="5">
        <v>24.59</v>
      </c>
      <c r="I227" s="5">
        <v>24.19</v>
      </c>
      <c r="J227" s="5">
        <v>24.48</v>
      </c>
      <c r="K227" s="5">
        <v>24.75</v>
      </c>
    </row>
    <row r="228" spans="1:11" x14ac:dyDescent="0.25">
      <c r="A228" s="5" t="s">
        <v>31</v>
      </c>
      <c r="B228" s="5" t="s">
        <v>295</v>
      </c>
      <c r="C228" s="5">
        <v>28.65</v>
      </c>
      <c r="D228" s="5">
        <v>28.65</v>
      </c>
      <c r="E228" s="5">
        <v>28.23</v>
      </c>
      <c r="F228" s="5">
        <v>28.51</v>
      </c>
      <c r="G228" s="5">
        <v>28.32</v>
      </c>
      <c r="H228" s="5">
        <v>28.47</v>
      </c>
      <c r="I228" s="5">
        <v>28.34</v>
      </c>
      <c r="J228" s="5">
        <v>28.47</v>
      </c>
      <c r="K228" s="5">
        <v>28.28</v>
      </c>
    </row>
    <row r="229" spans="1:11" x14ac:dyDescent="0.25">
      <c r="A229" s="5" t="s">
        <v>45</v>
      </c>
      <c r="B229" s="5" t="s">
        <v>251</v>
      </c>
      <c r="C229" s="5">
        <v>29.39</v>
      </c>
      <c r="D229" s="5">
        <v>29.26</v>
      </c>
      <c r="E229" s="5">
        <v>29.02</v>
      </c>
      <c r="F229" s="5">
        <v>29.26</v>
      </c>
      <c r="G229" s="5">
        <v>29.18</v>
      </c>
      <c r="H229" s="5">
        <v>29.26</v>
      </c>
      <c r="I229" s="5">
        <v>29.33</v>
      </c>
      <c r="J229" s="5">
        <v>29.64</v>
      </c>
      <c r="K229" s="5">
        <v>29.22</v>
      </c>
    </row>
    <row r="230" spans="1:11" x14ac:dyDescent="0.25">
      <c r="A230" s="5" t="s">
        <v>29</v>
      </c>
      <c r="B230" s="5" t="s">
        <v>358</v>
      </c>
      <c r="C230" s="5">
        <v>14.12</v>
      </c>
      <c r="D230" s="5">
        <v>14.25</v>
      </c>
      <c r="E230" s="5">
        <v>14.45</v>
      </c>
      <c r="F230" s="5">
        <v>15.32</v>
      </c>
      <c r="G230" s="5">
        <v>15.45</v>
      </c>
      <c r="H230" s="5">
        <v>13.84</v>
      </c>
      <c r="I230" s="5">
        <v>14.49</v>
      </c>
      <c r="J230" s="5">
        <v>15.35</v>
      </c>
      <c r="K230" s="5">
        <v>15.89</v>
      </c>
    </row>
    <row r="231" spans="1:11" x14ac:dyDescent="0.25">
      <c r="A231" s="5" t="s">
        <v>747</v>
      </c>
      <c r="B231" s="5" t="s">
        <v>748</v>
      </c>
      <c r="C231" s="5">
        <v>27.69</v>
      </c>
      <c r="D231" s="5">
        <v>27.61</v>
      </c>
      <c r="E231" s="5">
        <v>27.7</v>
      </c>
      <c r="F231" s="5">
        <v>27.7</v>
      </c>
      <c r="G231" s="5">
        <v>27.72</v>
      </c>
      <c r="H231" s="5">
        <v>27.45</v>
      </c>
      <c r="I231" s="5">
        <v>27.64</v>
      </c>
      <c r="J231" s="5">
        <v>27.48</v>
      </c>
      <c r="K231" s="5">
        <v>27.54</v>
      </c>
    </row>
    <row r="232" spans="1:11" x14ac:dyDescent="0.25">
      <c r="A232" s="5" t="s">
        <v>210</v>
      </c>
      <c r="B232" s="5" t="s">
        <v>444</v>
      </c>
      <c r="C232" s="5">
        <v>22.64</v>
      </c>
      <c r="D232" s="5">
        <v>23.69</v>
      </c>
      <c r="E232" s="5">
        <v>23.37</v>
      </c>
      <c r="F232" s="5">
        <v>23.3</v>
      </c>
      <c r="G232" s="5">
        <v>23.94</v>
      </c>
      <c r="H232" s="5">
        <v>23.64</v>
      </c>
      <c r="I232" s="5">
        <v>23.52</v>
      </c>
      <c r="J232" s="5">
        <v>24.17</v>
      </c>
      <c r="K232" s="5">
        <v>23.43</v>
      </c>
    </row>
    <row r="233" spans="1:11" x14ac:dyDescent="0.25">
      <c r="A233" s="5" t="s">
        <v>209</v>
      </c>
      <c r="B233" s="5" t="s">
        <v>749</v>
      </c>
      <c r="C233" s="5">
        <v>17.05</v>
      </c>
      <c r="D233" s="5">
        <v>16.649999999999999</v>
      </c>
      <c r="E233" s="5">
        <v>16.190000000000001</v>
      </c>
      <c r="F233" s="5">
        <v>15.95</v>
      </c>
      <c r="G233" s="5">
        <v>16.510000000000002</v>
      </c>
      <c r="H233" s="5">
        <v>16.47</v>
      </c>
      <c r="I233" s="5">
        <v>16.34</v>
      </c>
      <c r="J233" s="5">
        <v>16.600000000000001</v>
      </c>
      <c r="K233" s="5">
        <v>17.13</v>
      </c>
    </row>
    <row r="234" spans="1:11" x14ac:dyDescent="0.25">
      <c r="A234" s="5" t="s">
        <v>211</v>
      </c>
      <c r="B234" s="5" t="s">
        <v>298</v>
      </c>
      <c r="C234" s="5">
        <v>20.94</v>
      </c>
      <c r="D234" s="5">
        <v>20.440000000000001</v>
      </c>
      <c r="E234" s="5">
        <v>20.25</v>
      </c>
      <c r="F234" s="5">
        <v>20.93</v>
      </c>
      <c r="G234" s="5">
        <v>20.23</v>
      </c>
      <c r="H234" s="5">
        <v>21.47</v>
      </c>
      <c r="I234" s="5">
        <v>20.88</v>
      </c>
      <c r="J234" s="5">
        <v>22.19</v>
      </c>
      <c r="K234" s="5">
        <v>20.68</v>
      </c>
    </row>
    <row r="235" spans="1:11" x14ac:dyDescent="0.25">
      <c r="A235" s="5" t="s">
        <v>750</v>
      </c>
      <c r="B235" s="5" t="s">
        <v>751</v>
      </c>
      <c r="C235" s="5">
        <v>21.76</v>
      </c>
      <c r="D235" s="5">
        <v>21.32</v>
      </c>
      <c r="E235" s="5">
        <v>21.72</v>
      </c>
      <c r="F235" s="5">
        <v>21.82</v>
      </c>
      <c r="G235" s="5">
        <v>21.65</v>
      </c>
      <c r="H235" s="5">
        <v>21.63</v>
      </c>
      <c r="I235" s="5">
        <v>22.09</v>
      </c>
      <c r="J235" s="5">
        <v>21.95</v>
      </c>
      <c r="K235" s="5">
        <v>22.59</v>
      </c>
    </row>
    <row r="236" spans="1:11" x14ac:dyDescent="0.25">
      <c r="A236" s="5" t="s">
        <v>194</v>
      </c>
      <c r="B236" s="5" t="s">
        <v>752</v>
      </c>
      <c r="C236" s="5">
        <v>29.89</v>
      </c>
      <c r="D236" s="5">
        <v>29.57</v>
      </c>
      <c r="E236" s="5">
        <v>29.25</v>
      </c>
      <c r="F236" s="5">
        <v>29.55</v>
      </c>
      <c r="G236" s="5">
        <v>29.61</v>
      </c>
      <c r="H236" s="5">
        <v>29.45</v>
      </c>
      <c r="I236" s="5">
        <v>29.27</v>
      </c>
      <c r="J236" s="5">
        <v>29.85</v>
      </c>
      <c r="K236" s="5">
        <v>30.35</v>
      </c>
    </row>
    <row r="237" spans="1:11" x14ac:dyDescent="0.25">
      <c r="A237" s="5" t="s">
        <v>213</v>
      </c>
      <c r="B237" s="5" t="s">
        <v>753</v>
      </c>
      <c r="C237" s="5">
        <v>31.34</v>
      </c>
      <c r="D237" s="5">
        <v>30.93</v>
      </c>
      <c r="E237" s="5">
        <v>30.59</v>
      </c>
      <c r="F237" s="5">
        <v>30.87</v>
      </c>
      <c r="G237" s="5">
        <v>30.92</v>
      </c>
      <c r="H237" s="5">
        <v>30.59</v>
      </c>
      <c r="I237" s="5">
        <v>30.53</v>
      </c>
      <c r="J237" s="5">
        <v>31.08</v>
      </c>
      <c r="K237" s="5">
        <v>31.34</v>
      </c>
    </row>
    <row r="238" spans="1:11" x14ac:dyDescent="0.25">
      <c r="A238" s="5" t="s">
        <v>78</v>
      </c>
      <c r="B238" s="5" t="s">
        <v>754</v>
      </c>
      <c r="C238" s="5">
        <v>30.32</v>
      </c>
      <c r="D238" s="5">
        <v>30.12</v>
      </c>
      <c r="E238" s="5">
        <v>29.89</v>
      </c>
      <c r="F238" s="5">
        <v>30.23</v>
      </c>
      <c r="G238" s="5">
        <v>30.26</v>
      </c>
      <c r="H238" s="5">
        <v>30.12</v>
      </c>
      <c r="I238" s="5">
        <v>30.03</v>
      </c>
      <c r="J238" s="5">
        <v>30.47</v>
      </c>
      <c r="K238" s="5">
        <v>30.82</v>
      </c>
    </row>
    <row r="239" spans="1:11" x14ac:dyDescent="0.25">
      <c r="A239" s="5" t="s">
        <v>215</v>
      </c>
      <c r="B239" s="5" t="s">
        <v>755</v>
      </c>
      <c r="C239" s="5">
        <v>30.62</v>
      </c>
      <c r="D239" s="5">
        <v>30.43</v>
      </c>
      <c r="E239" s="5">
        <v>30.19</v>
      </c>
      <c r="F239" s="5">
        <v>30.53</v>
      </c>
      <c r="G239" s="5">
        <v>30.56</v>
      </c>
      <c r="H239" s="5">
        <v>30.43</v>
      </c>
      <c r="I239" s="5">
        <v>30.33</v>
      </c>
      <c r="J239" s="5">
        <v>30.77</v>
      </c>
      <c r="K239" s="5">
        <v>31.14</v>
      </c>
    </row>
    <row r="240" spans="1:11" x14ac:dyDescent="0.25">
      <c r="A240" s="5" t="s">
        <v>214</v>
      </c>
      <c r="B240" s="5" t="s">
        <v>756</v>
      </c>
      <c r="C240" s="5">
        <v>28.87</v>
      </c>
      <c r="D240" s="5">
        <v>28.38</v>
      </c>
      <c r="E240" s="5">
        <v>28.45</v>
      </c>
      <c r="F240" s="5">
        <v>29.24</v>
      </c>
      <c r="G240" s="5">
        <v>28.93</v>
      </c>
      <c r="H240" s="5">
        <v>28.69</v>
      </c>
      <c r="I240" s="5">
        <v>28.32</v>
      </c>
      <c r="J240" s="5">
        <v>29.17</v>
      </c>
      <c r="K240" s="5">
        <v>29.17</v>
      </c>
    </row>
    <row r="241" spans="1:11" x14ac:dyDescent="0.25">
      <c r="A241" s="5" t="s">
        <v>212</v>
      </c>
      <c r="B241" s="5" t="s">
        <v>299</v>
      </c>
      <c r="C241" s="5">
        <v>28.28</v>
      </c>
      <c r="D241" s="5">
        <v>28.21</v>
      </c>
      <c r="E241" s="5">
        <v>27.84</v>
      </c>
      <c r="F241" s="5">
        <v>27.92</v>
      </c>
      <c r="G241" s="5">
        <v>28.21</v>
      </c>
      <c r="H241" s="5">
        <v>28.16</v>
      </c>
      <c r="I241" s="5">
        <v>28.23</v>
      </c>
      <c r="J241" s="5">
        <v>27.94</v>
      </c>
      <c r="K241" s="5">
        <v>28.38</v>
      </c>
    </row>
    <row r="242" spans="1:11" x14ac:dyDescent="0.25">
      <c r="A242" s="5" t="s">
        <v>757</v>
      </c>
      <c r="B242" s="5" t="s">
        <v>758</v>
      </c>
      <c r="C242" s="5">
        <v>30.39</v>
      </c>
      <c r="D242" s="5">
        <v>30.34</v>
      </c>
      <c r="E242" s="5">
        <v>30.27</v>
      </c>
      <c r="F242" s="5">
        <v>30.5</v>
      </c>
      <c r="G242" s="5">
        <v>30.62</v>
      </c>
      <c r="H242" s="5">
        <v>30.38</v>
      </c>
      <c r="I242" s="5">
        <v>30.34</v>
      </c>
      <c r="J242" s="5">
        <v>30.43</v>
      </c>
      <c r="K242" s="5">
        <v>30.73</v>
      </c>
    </row>
    <row r="243" spans="1:11" x14ac:dyDescent="0.25">
      <c r="A243" s="5" t="s">
        <v>176</v>
      </c>
      <c r="B243" s="5" t="s">
        <v>347</v>
      </c>
      <c r="C243" s="5">
        <v>30.41</v>
      </c>
      <c r="D243" s="5">
        <v>30.28</v>
      </c>
      <c r="E243" s="5">
        <v>30.19</v>
      </c>
      <c r="F243" s="5">
        <v>30.42</v>
      </c>
      <c r="G243" s="5">
        <v>30.46</v>
      </c>
      <c r="H243" s="5">
        <v>30.27</v>
      </c>
      <c r="I243" s="5">
        <v>30.35</v>
      </c>
      <c r="J243" s="5">
        <v>30.43</v>
      </c>
      <c r="K243" s="5">
        <v>30.75</v>
      </c>
    </row>
    <row r="244" spans="1:11" x14ac:dyDescent="0.25">
      <c r="A244" s="5" t="s">
        <v>217</v>
      </c>
      <c r="B244" s="5" t="s">
        <v>759</v>
      </c>
      <c r="C244" s="5">
        <v>31.91</v>
      </c>
      <c r="D244" s="5">
        <v>31.96</v>
      </c>
      <c r="E244" s="5">
        <v>31.72</v>
      </c>
      <c r="F244" s="5">
        <v>32.18</v>
      </c>
      <c r="G244" s="5">
        <v>31.87</v>
      </c>
      <c r="H244" s="5">
        <v>31.89</v>
      </c>
      <c r="I244" s="5">
        <v>31.84</v>
      </c>
      <c r="J244" s="5">
        <v>32.229999999999997</v>
      </c>
      <c r="K244" s="5">
        <v>32.270000000000003</v>
      </c>
    </row>
    <row r="245" spans="1:11" x14ac:dyDescent="0.25">
      <c r="A245" s="5" t="s">
        <v>188</v>
      </c>
      <c r="B245" s="5" t="s">
        <v>349</v>
      </c>
      <c r="C245" s="5">
        <v>26.81</v>
      </c>
      <c r="D245" s="5">
        <v>26.36</v>
      </c>
      <c r="E245" s="5">
        <v>26.42</v>
      </c>
      <c r="F245" s="5">
        <v>27.14</v>
      </c>
      <c r="G245" s="5">
        <v>26.17</v>
      </c>
      <c r="H245" s="5">
        <v>25.77</v>
      </c>
      <c r="I245" s="5">
        <v>26.07</v>
      </c>
      <c r="J245" s="5">
        <v>26.4</v>
      </c>
      <c r="K245" s="5">
        <v>27</v>
      </c>
    </row>
    <row r="246" spans="1:11" x14ac:dyDescent="0.25">
      <c r="A246" s="5" t="s">
        <v>52</v>
      </c>
      <c r="B246" s="5" t="s">
        <v>302</v>
      </c>
      <c r="C246" s="5">
        <v>29.33</v>
      </c>
      <c r="D246" s="5">
        <v>29.21</v>
      </c>
      <c r="E246" s="5">
        <v>28.88</v>
      </c>
      <c r="F246" s="5">
        <v>29.34</v>
      </c>
      <c r="G246" s="5">
        <v>28.97</v>
      </c>
      <c r="H246" s="5">
        <v>29.01</v>
      </c>
      <c r="I246" s="5">
        <v>28.76</v>
      </c>
      <c r="J246" s="5">
        <v>29.09</v>
      </c>
      <c r="K246" s="5">
        <v>29.26</v>
      </c>
    </row>
    <row r="247" spans="1:11" x14ac:dyDescent="0.25">
      <c r="A247" s="5" t="s">
        <v>218</v>
      </c>
      <c r="B247" s="5" t="s">
        <v>303</v>
      </c>
      <c r="C247" s="5">
        <v>29.18</v>
      </c>
      <c r="D247" s="5">
        <v>28.47</v>
      </c>
      <c r="E247" s="5">
        <v>28.93</v>
      </c>
      <c r="F247" s="5">
        <v>29.37</v>
      </c>
      <c r="G247" s="5">
        <v>28.65</v>
      </c>
      <c r="H247" s="5">
        <v>28.65</v>
      </c>
      <c r="I247" s="5">
        <v>28.49</v>
      </c>
      <c r="J247" s="5">
        <v>29.02</v>
      </c>
      <c r="K247" s="5">
        <v>29.53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7"/>
  <sheetViews>
    <sheetView workbookViewId="0">
      <selection activeCell="B2" sqref="B2"/>
    </sheetView>
  </sheetViews>
  <sheetFormatPr defaultRowHeight="15" x14ac:dyDescent="0.25"/>
  <sheetData>
    <row r="1" spans="1:27" x14ac:dyDescent="0.25">
      <c r="B1" t="s">
        <v>29</v>
      </c>
      <c r="C1" t="s">
        <v>3</v>
      </c>
      <c r="D1" t="s">
        <v>8</v>
      </c>
      <c r="E1" t="s">
        <v>1</v>
      </c>
      <c r="F1" t="s">
        <v>4</v>
      </c>
      <c r="G1" t="s">
        <v>30</v>
      </c>
      <c r="H1" t="s">
        <v>6</v>
      </c>
      <c r="I1" t="s">
        <v>5</v>
      </c>
      <c r="J1" t="s">
        <v>10</v>
      </c>
      <c r="K1" t="s">
        <v>7</v>
      </c>
      <c r="L1" t="s">
        <v>15</v>
      </c>
      <c r="M1" t="s">
        <v>9</v>
      </c>
      <c r="N1" t="s">
        <v>12</v>
      </c>
      <c r="O1" t="s">
        <v>11</v>
      </c>
      <c r="P1" t="s">
        <v>21</v>
      </c>
      <c r="Q1" t="s">
        <v>13</v>
      </c>
      <c r="R1" t="s">
        <v>16</v>
      </c>
      <c r="S1" t="s">
        <v>17</v>
      </c>
      <c r="T1" t="s">
        <v>18</v>
      </c>
      <c r="U1" t="s">
        <v>14</v>
      </c>
      <c r="V1" t="s">
        <v>23</v>
      </c>
      <c r="W1" t="s">
        <v>24</v>
      </c>
      <c r="X1" t="s">
        <v>22</v>
      </c>
      <c r="Y1" t="s">
        <v>26</v>
      </c>
      <c r="Z1" t="s">
        <v>20</v>
      </c>
      <c r="AA1" t="s">
        <v>27</v>
      </c>
    </row>
    <row r="2" spans="1:27" x14ac:dyDescent="0.25">
      <c r="A2" t="s">
        <v>29</v>
      </c>
    </row>
    <row r="3" spans="1:27" x14ac:dyDescent="0.25">
      <c r="A3" t="s">
        <v>3</v>
      </c>
    </row>
    <row r="4" spans="1:27" x14ac:dyDescent="0.25">
      <c r="A4" t="s">
        <v>8</v>
      </c>
    </row>
    <row r="5" spans="1:27" x14ac:dyDescent="0.25">
      <c r="A5" t="s">
        <v>1</v>
      </c>
    </row>
    <row r="6" spans="1:27" x14ac:dyDescent="0.25">
      <c r="A6" t="s">
        <v>4</v>
      </c>
    </row>
    <row r="7" spans="1:27" x14ac:dyDescent="0.25">
      <c r="A7" t="s">
        <v>30</v>
      </c>
    </row>
    <row r="8" spans="1:27" x14ac:dyDescent="0.25">
      <c r="A8" t="s">
        <v>6</v>
      </c>
    </row>
    <row r="9" spans="1:27" x14ac:dyDescent="0.25">
      <c r="A9" t="s">
        <v>5</v>
      </c>
    </row>
    <row r="10" spans="1:27" x14ac:dyDescent="0.25">
      <c r="A10" t="s">
        <v>10</v>
      </c>
    </row>
    <row r="11" spans="1:27" x14ac:dyDescent="0.25">
      <c r="A11" t="s">
        <v>7</v>
      </c>
    </row>
    <row r="12" spans="1:27" x14ac:dyDescent="0.25">
      <c r="A12" t="s">
        <v>15</v>
      </c>
    </row>
    <row r="13" spans="1:27" x14ac:dyDescent="0.25">
      <c r="A13" t="s">
        <v>9</v>
      </c>
    </row>
    <row r="14" spans="1:27" x14ac:dyDescent="0.25">
      <c r="A14" t="s">
        <v>12</v>
      </c>
    </row>
    <row r="15" spans="1:27" x14ac:dyDescent="0.25">
      <c r="A15" t="s">
        <v>11</v>
      </c>
    </row>
    <row r="16" spans="1:27" x14ac:dyDescent="0.25">
      <c r="A16" t="s">
        <v>21</v>
      </c>
    </row>
    <row r="17" spans="1:1" x14ac:dyDescent="0.25">
      <c r="A17" t="s">
        <v>13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14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22</v>
      </c>
    </row>
    <row r="25" spans="1:1" x14ac:dyDescent="0.25">
      <c r="A25" t="s">
        <v>26</v>
      </c>
    </row>
    <row r="26" spans="1:1" x14ac:dyDescent="0.25">
      <c r="A26" t="s">
        <v>20</v>
      </c>
    </row>
    <row r="27" spans="1:1" x14ac:dyDescent="0.25">
      <c r="A27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>
      <selection sqref="A1:A27"/>
    </sheetView>
  </sheetViews>
  <sheetFormatPr defaultRowHeight="15" x14ac:dyDescent="0.25"/>
  <sheetData>
    <row r="1" spans="1:2" x14ac:dyDescent="0.25">
      <c r="A1" t="s">
        <v>224</v>
      </c>
      <c r="B1" t="s">
        <v>219</v>
      </c>
    </row>
    <row r="2" spans="1:2" x14ac:dyDescent="0.25">
      <c r="A2" t="s">
        <v>29</v>
      </c>
      <c r="B2">
        <v>8.7200000000000006</v>
      </c>
    </row>
    <row r="3" spans="1:2" x14ac:dyDescent="0.25">
      <c r="A3" t="s">
        <v>3</v>
      </c>
      <c r="B3">
        <v>12.81</v>
      </c>
    </row>
    <row r="4" spans="1:2" x14ac:dyDescent="0.25">
      <c r="A4" t="s">
        <v>8</v>
      </c>
      <c r="B4">
        <v>16.420000000000002</v>
      </c>
    </row>
    <row r="5" spans="1:2" x14ac:dyDescent="0.25">
      <c r="A5" t="s">
        <v>1</v>
      </c>
      <c r="B5">
        <v>11.71</v>
      </c>
    </row>
    <row r="6" spans="1:2" x14ac:dyDescent="0.25">
      <c r="A6" t="s">
        <v>4</v>
      </c>
      <c r="B6">
        <v>13.1</v>
      </c>
    </row>
    <row r="7" spans="1:2" x14ac:dyDescent="0.25">
      <c r="A7" t="s">
        <v>30</v>
      </c>
      <c r="B7">
        <v>9.66</v>
      </c>
    </row>
    <row r="8" spans="1:2" x14ac:dyDescent="0.25">
      <c r="A8" t="s">
        <v>6</v>
      </c>
      <c r="B8">
        <v>14.96</v>
      </c>
    </row>
    <row r="9" spans="1:2" x14ac:dyDescent="0.25">
      <c r="A9" t="s">
        <v>5</v>
      </c>
      <c r="B9">
        <v>13.64</v>
      </c>
    </row>
    <row r="10" spans="1:2" x14ac:dyDescent="0.25">
      <c r="A10" t="s">
        <v>10</v>
      </c>
      <c r="B10">
        <v>17.079999999999998</v>
      </c>
    </row>
    <row r="11" spans="1:2" x14ac:dyDescent="0.25">
      <c r="A11" t="s">
        <v>7</v>
      </c>
      <c r="B11">
        <v>15.55</v>
      </c>
    </row>
    <row r="12" spans="1:2" x14ac:dyDescent="0.25">
      <c r="A12" t="s">
        <v>15</v>
      </c>
      <c r="B12">
        <v>21.02</v>
      </c>
    </row>
    <row r="13" spans="1:2" x14ac:dyDescent="0.25">
      <c r="A13" t="s">
        <v>9</v>
      </c>
      <c r="B13">
        <v>16.73</v>
      </c>
    </row>
    <row r="14" spans="1:2" x14ac:dyDescent="0.25">
      <c r="A14" t="s">
        <v>12</v>
      </c>
      <c r="B14">
        <v>18.87</v>
      </c>
    </row>
    <row r="15" spans="1:2" x14ac:dyDescent="0.25">
      <c r="A15" t="s">
        <v>11</v>
      </c>
      <c r="B15">
        <v>17.13</v>
      </c>
    </row>
    <row r="16" spans="1:2" x14ac:dyDescent="0.25">
      <c r="A16" t="s">
        <v>21</v>
      </c>
      <c r="B16">
        <v>24.31</v>
      </c>
    </row>
    <row r="17" spans="1:2" x14ac:dyDescent="0.25">
      <c r="A17" t="s">
        <v>13</v>
      </c>
      <c r="B17">
        <v>19.68</v>
      </c>
    </row>
    <row r="18" spans="1:2" x14ac:dyDescent="0.25">
      <c r="A18" t="s">
        <v>16</v>
      </c>
      <c r="B18">
        <v>21.93</v>
      </c>
    </row>
    <row r="19" spans="1:2" x14ac:dyDescent="0.25">
      <c r="A19" t="s">
        <v>17</v>
      </c>
      <c r="B19">
        <v>21.93</v>
      </c>
    </row>
    <row r="20" spans="1:2" x14ac:dyDescent="0.25">
      <c r="A20" t="s">
        <v>18</v>
      </c>
      <c r="B20">
        <v>22</v>
      </c>
    </row>
    <row r="21" spans="1:2" x14ac:dyDescent="0.25">
      <c r="A21" t="s">
        <v>14</v>
      </c>
      <c r="B21">
        <v>20.96</v>
      </c>
    </row>
    <row r="22" spans="1:2" x14ac:dyDescent="0.25">
      <c r="A22" t="s">
        <v>23</v>
      </c>
      <c r="B22">
        <v>26.26</v>
      </c>
    </row>
    <row r="23" spans="1:2" x14ac:dyDescent="0.25">
      <c r="A23" t="s">
        <v>24</v>
      </c>
      <c r="B23">
        <v>27.74</v>
      </c>
    </row>
    <row r="24" spans="1:2" x14ac:dyDescent="0.25">
      <c r="A24" t="s">
        <v>22</v>
      </c>
      <c r="B24">
        <v>25.2</v>
      </c>
    </row>
    <row r="25" spans="1:2" x14ac:dyDescent="0.25">
      <c r="A25" t="s">
        <v>26</v>
      </c>
      <c r="B25">
        <v>28.93</v>
      </c>
    </row>
    <row r="26" spans="1:2" x14ac:dyDescent="0.25">
      <c r="A26" t="s">
        <v>20</v>
      </c>
      <c r="B26">
        <v>23.81</v>
      </c>
    </row>
    <row r="27" spans="1:2" x14ac:dyDescent="0.25">
      <c r="A27" t="s">
        <v>27</v>
      </c>
      <c r="B27">
        <v>40.51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antibiotic use</vt:lpstr>
      <vt:lpstr>aqua_gr</vt:lpstr>
      <vt:lpstr>together</vt:lpstr>
      <vt:lpstr>together2</vt:lpstr>
      <vt:lpstr>panel</vt:lpstr>
      <vt:lpstr>temp</vt:lpstr>
      <vt:lpstr>Sayfa6</vt:lpstr>
      <vt:lpstr>Sayfa7</vt:lpstr>
    </vt:vector>
  </TitlesOfParts>
  <Company>marmara universitesi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2025-12-20T14:38:01Z</dcterms:created>
  <dcterms:modified xsi:type="dcterms:W3CDTF">2026-01-19T23:57:52Z</dcterms:modified>
</cp:coreProperties>
</file>